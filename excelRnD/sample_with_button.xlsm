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defaultThemeVersion="166925"/>
  <mc:AlternateContent xmlns:mc="http://schemas.openxmlformats.org/markup-compatibility/2006">
    <mc:Choice Requires="x15">
      <x15ac:absPath xmlns:x15ac="http://schemas.microsoft.com/office/spreadsheetml/2010/11/ac" url="C:\Users\maxck\Desktop\M\excelRnD\"/>
    </mc:Choice>
  </mc:AlternateContent>
  <xr:revisionPtr revIDLastSave="0" documentId="8_{48C78073-D2A1-4DFD-A4DF-1B659B0E41F5}" xr6:coauthVersionLast="45" xr6:coauthVersionMax="45" xr10:uidLastSave="{00000000-0000-0000-0000-000000000000}"/>
  <bookViews>
    <workbookView xWindow="-108" yWindow="-108" windowWidth="23256" windowHeight="12576" activeTab="1" xr2:uid="{AF1BEE5E-11EC-432A-8976-E712077791C9}"/>
  </bookViews>
  <sheets>
    <sheet name="Sheet1" sheetId="1" r:id="rId1"/>
    <sheet name="Monitor" sheetId="5" r:id="rId2"/>
    <sheet name="Sheet2" sheetId="2" state="hidden" r:id="rId3"/>
    <sheet name="Price" sheetId="4" r:id="rId4"/>
  </sheets>
  <functionGroups builtInGroupCount="19"/>
  <externalReferences>
    <externalReference r:id="rId5"/>
    <externalReference r:id="rId6"/>
  </externalReferences>
  <definedNames>
    <definedName name="db_a_mt4_trades" localSheetId="2" hidden="1">Sheet2!$A$6:$H$7</definedName>
    <definedName name="db_a_mt4_trades2" localSheetId="2" hidden="1">Sheet2!$J$6:$Q$7</definedName>
    <definedName name="Slicer_Db_Name">#N/A</definedName>
    <definedName name="Slicer_GROUP">#N/A</definedName>
    <definedName name="Slicer_Symbol">#N/A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O42" i="5" l="1"/>
  <c r="L42" i="5"/>
  <c r="G42" i="5"/>
  <c r="F42" i="5"/>
  <c r="E42" i="5"/>
  <c r="O41" i="5"/>
  <c r="L41" i="5"/>
  <c r="G41" i="5"/>
  <c r="F41" i="5"/>
  <c r="E41" i="5"/>
  <c r="O40" i="5"/>
  <c r="L40" i="5"/>
  <c r="G40" i="5"/>
  <c r="F40" i="5"/>
  <c r="E40" i="5"/>
  <c r="O39" i="5"/>
  <c r="L39" i="5"/>
  <c r="G39" i="5"/>
  <c r="F39" i="5"/>
  <c r="E39" i="5"/>
  <c r="O38" i="5"/>
  <c r="L38" i="5"/>
  <c r="G38" i="5"/>
  <c r="F38" i="5"/>
  <c r="E38" i="5"/>
  <c r="O37" i="5"/>
  <c r="L37" i="5"/>
  <c r="G37" i="5"/>
  <c r="F37" i="5"/>
  <c r="E37" i="5"/>
  <c r="O36" i="5"/>
  <c r="L36" i="5"/>
  <c r="G36" i="5"/>
  <c r="F36" i="5"/>
  <c r="E36" i="5"/>
  <c r="O35" i="5"/>
  <c r="L35" i="5"/>
  <c r="G35" i="5"/>
  <c r="F35" i="5"/>
  <c r="E35" i="5"/>
  <c r="O34" i="5"/>
  <c r="L34" i="5"/>
  <c r="G34" i="5"/>
  <c r="F34" i="5"/>
  <c r="E34" i="5"/>
  <c r="O33" i="5"/>
  <c r="L33" i="5"/>
  <c r="G33" i="5"/>
  <c r="F33" i="5"/>
  <c r="E33" i="5"/>
  <c r="O32" i="5"/>
  <c r="L32" i="5"/>
  <c r="G32" i="5"/>
  <c r="F32" i="5"/>
  <c r="E32" i="5"/>
  <c r="O31" i="5"/>
  <c r="L31" i="5"/>
  <c r="G31" i="5"/>
  <c r="F31" i="5"/>
  <c r="E31" i="5"/>
  <c r="O30" i="5"/>
  <c r="L30" i="5"/>
  <c r="G30" i="5"/>
  <c r="F30" i="5"/>
  <c r="E30" i="5"/>
  <c r="O29" i="5"/>
  <c r="L29" i="5"/>
  <c r="G29" i="5"/>
  <c r="F29" i="5"/>
  <c r="E29" i="5"/>
  <c r="O28" i="5"/>
  <c r="L28" i="5"/>
  <c r="G28" i="5"/>
  <c r="F28" i="5"/>
  <c r="E28" i="5"/>
  <c r="O27" i="5"/>
  <c r="L27" i="5"/>
  <c r="G27" i="5"/>
  <c r="F27" i="5"/>
  <c r="E27" i="5"/>
  <c r="O26" i="5"/>
  <c r="L26" i="5"/>
  <c r="G26" i="5"/>
  <c r="F26" i="5"/>
  <c r="E26" i="5"/>
  <c r="O25" i="5"/>
  <c r="L25" i="5"/>
  <c r="G25" i="5"/>
  <c r="F25" i="5"/>
  <c r="E25" i="5"/>
  <c r="O24" i="5"/>
  <c r="L24" i="5"/>
  <c r="G24" i="5"/>
  <c r="F24" i="5"/>
  <c r="E24" i="5"/>
  <c r="O23" i="5"/>
  <c r="L23" i="5"/>
  <c r="G23" i="5"/>
  <c r="F23" i="5"/>
  <c r="E23" i="5"/>
  <c r="O22" i="5"/>
  <c r="L22" i="5"/>
  <c r="G22" i="5"/>
  <c r="F22" i="5"/>
  <c r="E22" i="5"/>
  <c r="O21" i="5"/>
  <c r="L21" i="5"/>
  <c r="G21" i="5"/>
  <c r="F21" i="5"/>
  <c r="E21" i="5"/>
  <c r="O20" i="5"/>
  <c r="L20" i="5"/>
  <c r="G20" i="5"/>
  <c r="F20" i="5"/>
  <c r="E20" i="5"/>
  <c r="O19" i="5"/>
  <c r="L19" i="5"/>
  <c r="G19" i="5"/>
  <c r="F19" i="5"/>
  <c r="E19" i="5"/>
  <c r="O18" i="5"/>
  <c r="L18" i="5"/>
  <c r="G18" i="5"/>
  <c r="F18" i="5"/>
  <c r="E18" i="5"/>
  <c r="F9" i="5"/>
  <c r="E9" i="5"/>
  <c r="C9" i="5"/>
  <c r="G8" i="5"/>
  <c r="C8" i="5"/>
  <c r="G7" i="5"/>
  <c r="C7" i="5"/>
  <c r="G6" i="5"/>
  <c r="C6" i="5"/>
  <c r="G5" i="5"/>
  <c r="C5" i="5"/>
  <c r="E2" i="5"/>
  <c r="D2" i="5"/>
  <c r="B2" i="5"/>
  <c r="G9" i="5" l="1"/>
  <c r="D3" i="1"/>
  <c r="D4" i="1"/>
  <c r="D5" i="1"/>
  <c r="D6" i="1"/>
  <c r="D7" i="1"/>
  <c r="D8" i="1"/>
  <c r="D9" i="1"/>
  <c r="D10" i="1"/>
  <c r="D11" i="1"/>
  <c r="D12" i="1"/>
  <c r="D13" i="1"/>
  <c r="D14" i="1"/>
  <c r="D15" i="1"/>
  <c r="D16" i="1"/>
  <c r="D17" i="1"/>
  <c r="D18" i="1"/>
  <c r="D19" i="1"/>
  <c r="D20" i="1"/>
  <c r="D21" i="1"/>
  <c r="D22" i="1"/>
  <c r="D23" i="1"/>
  <c r="D24" i="1"/>
  <c r="D25" i="1"/>
  <c r="D26" i="1"/>
  <c r="D27" i="1"/>
  <c r="D28" i="1"/>
  <c r="D2" i="1"/>
  <c r="B2" i="4"/>
  <c r="B3" i="4"/>
  <c r="B4" i="4"/>
  <c r="B5" i="4"/>
  <c r="B6" i="4"/>
  <c r="B7" i="4"/>
  <c r="B8" i="4"/>
  <c r="B9" i="4"/>
  <c r="B10" i="4"/>
  <c r="B11" i="4"/>
  <c r="B12" i="4"/>
  <c r="B13" i="4"/>
  <c r="B14" i="4"/>
  <c r="B15" i="4"/>
  <c r="B16" i="4"/>
  <c r="B17" i="4"/>
  <c r="B18" i="4"/>
  <c r="B19" i="4"/>
  <c r="B20" i="4"/>
  <c r="B21" i="4"/>
  <c r="B22" i="4"/>
  <c r="B23" i="4"/>
  <c r="B24" i="4"/>
  <c r="B25" i="4"/>
  <c r="B26"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interval="1" name="db_a mt4_trades" type="5" refreshedVersion="5" deleted="1" background="1" saveData="1">
    <dbPr connection="" command=""/>
  </connection>
  <connection id="2" xr16:uid="{00000000-0015-0000-FFFF-FFFF01000000}" name="db_a mt4_trades1" type="1" refreshedVersion="5" deleted="1" background="1" saveData="1">
    <dbPr connection="" command=""/>
  </connection>
  <connection id="3" xr16:uid="{00000000-0015-0000-FFFF-FFFF02000000}" keepAlive="1" name="db_Trades" type="5" refreshedVersion="6" saveData="1">
    <dbPr connection="Provider=MSDASQL.1;Persist Security Info=True;Data Source=mysql;Extended Properties=&quot;DSN=SQL;SERVER=18.162.220.173;UID=osim;PORT=3306;FOUND_ROWS=1;BIG_PACKETS=1;AUTO_RECONNECT=1;MULTI_STATEMENTS=1&quot;;Initial Catalog=osim" command="select t.Db_Name,t.Sym,t.vol/100 as vol,t.OPEN_PRICE,t.LOGIN,t.Seconds,t.Orders,t.cmd,t.`GROUP` from (_x000d__x000a__x000d__x000a_select ifnull(trad.Db_Name,'osim') as Db_Name,ifnull(trad.Sym,sm.SYMBOL) as Sym,ifnull(trad.vol,0) as vol,_x000d__x000a_trad.Open_Price,ifnull(trad.Login,0) as login,ifnull(trad.seconds,0) as seconds,ifnull(trad.orders,0) as orders,_x000d__x000a_ifnull(trad.cmd,sm.vol) as cmd, ifnull(trad.`GROUP`,0) as `GROUP` from (_x000d__x000a_select 'osim' as Db_Name,SYMBOL as Sym,VOLUME as vol ,OPEN_PRICE, osim.mt4_users.LOGIN_x000d__x000a_ ,TIME_TO_SEC(TIMEDIFF(replace(CONCAT(&quot;20&quot;, SUBSTRING(osim.mt4_trades.comment,LOCATE('19.', osim.mt4_trades.comment))),'-',' '),DATE_ADD(now(), INTERVAL 3 HOUR))) as seconds, _x000d__x000a_1 as orders,CMD, osim.mt4_users.`GROUP`_x000d__x000a_from osim.mt4_trades join osim.mt4_users on osim.mt4_trades.LOGIN = osim.mt4_users.LOGIN_x000d__x000a_WHERE  (CLOSE_TIME&lt;='1970-01-01' and osim.mt4_trades.comment &lt;&gt; '' And _x000d__x000a_osim.mt4_users.`NAME` not like '%TEST%' And _x000d__x000a_osim.mt4_users.`GROUP` not like '%TEST%' And _x000d__x000a_osim.mt4_users.`COMMENT` not like '%TEST%' And _x000d__x000a_osim.mt4_users.`ADDRESS` not like '%TEST%' And _x000d__x000a_osim.mt4_users.`COUNTRY` not like '%TEST%' And _x000d__x000a_osim.mt4_users.`CITY` not like '%TEST%' And _x000d__x000a_osim.mt4_users.`STATE` not like '%TEST%' And _x000d__x000a_osim.mt4_users.`ZIPCODE` not like '%TEST%' And _x000d__x000a_osim.mt4_users.`PHONE` not like '%TEST%' And _x000d__x000a_osim.mt4_users.`EMAIL` not like '%TEST%' And _x000d__x000a_osim.mt4_users.`STATUS` not like '%TEST%' And _x000d__x000a_osim.mt4_users.`CURRENCY` not like '%TEST%' And _x000d__x000a_osim.mt4_users.`PASSWORD_PHONE` not like '%TEST%' And _x000d__x000a_osim.mt4_users.`LOGIN` not like 3410289 AND_x000d__x000a_osim.mt4_users.`LOGIN` not like 3410310 AND_x000d__x000a_osim.mt4_users.`LOGIN` not like 3410284 AND_x000d__x000a_osim.mt4_users.`LOGIN` not like 3410318 AND_x000d__x000a_osim.mt4_users.`LOGIN` not like 3410409 AND_x000d__x000a_osim.mt4_users.`LOGIN` not like 3412358 AND_x000d__x000a_osim.mt4_users.`LOGIN` not like 3426892 AND_x000d__x000a_osim.mt4_users.`LOGIN` not like 3428225 AND_x000d__x000a_osim.mt4_users.`LOGIN` not like 3428318 AND_x000d__x000a_osim.mt4_users.`LOGIN` not like 3428406 AND_x000d__x000a_osim.mt4_users.`LOGIN` not like 3410114 AND_x000d__x000a_osim.mt4_users.`LOGIN` not like 3410238 AND_x000d__x000a_osim.mt4_users.`LOGIN` not like 3421245 AND_x000d__x000a_osim.mt4_users.`LOGIN` not like 3410245 AND _x000d__x000a_osim.mt4_users.`NAME` not like '%MISO%' )) trad_x000d__x000a__x000d__x000a_RIGHT JOIN osim.mt4_bolist sm on trad.sym= sm.SYMBOL and trad.cmd=sm.vol_x000d__x000a_And trad.seconds&lt;=32_x000d__x000a__x000d__x000a__x000d__x000a__x000d__x000a__x000d__x000a_) t_x000d__x000a__x000d__x000a_where t.SYM in ('ASIA.ms', 'AMERICA.ms', 'EUROPE.ms', 'COMMOD.ms', 'EXOTICS.ms', 'METALS.ms', 'AUD.ms', 'CHF.ms', 'CAD.ms', 'EUR.ms', 'USD.ms', 'GBP.ms', 'JPY.ms','AUDJPY.ms', 'AUDUSD.ms', 'EURGBP.ms', 'EURJPY.ms', 'NZDJPY.ms', 'EURUSD.ms', 'GBPJPY.ms', 'GBPUSD.ms', 'NZDUSD.ms', 'USDCAD.ms', 'USDCHF.ms', 'USDJPY.ms')"/>
  </connection>
</connections>
</file>

<file path=xl/sharedStrings.xml><?xml version="1.0" encoding="utf-8"?>
<sst xmlns="http://schemas.openxmlformats.org/spreadsheetml/2006/main" count="176" uniqueCount="73">
  <si>
    <t>ID</t>
  </si>
  <si>
    <t>Symbol</t>
  </si>
  <si>
    <t>Decrement</t>
  </si>
  <si>
    <t>CurrentValue</t>
  </si>
  <si>
    <t>Increment</t>
  </si>
  <si>
    <t>AMERICA.ms</t>
  </si>
  <si>
    <t>ASIA.ms</t>
  </si>
  <si>
    <t>EUROPE.ms</t>
  </si>
  <si>
    <t>COMMOD.ms</t>
  </si>
  <si>
    <t>EXOTICS.ms</t>
  </si>
  <si>
    <t>METALS.ms</t>
  </si>
  <si>
    <t>AUD.ms</t>
  </si>
  <si>
    <t>CAD.ms</t>
  </si>
  <si>
    <t>CHF.ms</t>
  </si>
  <si>
    <t>EUR.ms</t>
  </si>
  <si>
    <t>GBP.ms</t>
  </si>
  <si>
    <t>JPY.ms</t>
  </si>
  <si>
    <t>USD.ms</t>
  </si>
  <si>
    <t>AUDJPY.ms</t>
  </si>
  <si>
    <t>AUDUSD.ms</t>
  </si>
  <si>
    <t>EURGBP.ms</t>
  </si>
  <si>
    <t>EURJPY.ms</t>
  </si>
  <si>
    <t>EURUSD.ms</t>
  </si>
  <si>
    <t>GBPJPY.ms</t>
  </si>
  <si>
    <t>GBPUSD.ms</t>
  </si>
  <si>
    <t>NZDJPY.ms</t>
  </si>
  <si>
    <t>NZDUSD.ms</t>
  </si>
  <si>
    <t>USDCAD.ms</t>
  </si>
  <si>
    <t>USDCHF.ms</t>
  </si>
  <si>
    <t>USDJPY.ms</t>
  </si>
  <si>
    <t>XAUUSD.ms</t>
  </si>
  <si>
    <t>XAGUSD.ms</t>
  </si>
  <si>
    <t>Time Diff</t>
  </si>
  <si>
    <t>Current Date</t>
  </si>
  <si>
    <t>Time</t>
  </si>
  <si>
    <t>Trade</t>
  </si>
  <si>
    <t>Legend:</t>
  </si>
  <si>
    <t>R-FX</t>
  </si>
  <si>
    <t>Risky Fxbo PnL</t>
  </si>
  <si>
    <t>TT</t>
  </si>
  <si>
    <t>Date</t>
  </si>
  <si>
    <t>Type</t>
  </si>
  <si>
    <t>Volume</t>
  </si>
  <si>
    <t>Profit</t>
  </si>
  <si>
    <t>%</t>
  </si>
  <si>
    <t>R-Index</t>
  </si>
  <si>
    <t>Risky Indexbo PnL</t>
  </si>
  <si>
    <t>NR-FX</t>
  </si>
  <si>
    <t>Non-Risky Fxbo PnL</t>
  </si>
  <si>
    <t>NR-Index</t>
  </si>
  <si>
    <t>Non-Risky Indexbo PnL</t>
  </si>
  <si>
    <t>Total</t>
  </si>
  <si>
    <t>cmd</t>
  </si>
  <si>
    <t>BUY SYMBOL VOLUME</t>
  </si>
  <si>
    <t>SELL SYMBOL VOLUME</t>
  </si>
  <si>
    <t>Values</t>
  </si>
  <si>
    <t>Lowest Price</t>
  </si>
  <si>
    <t>Max of Seconds</t>
  </si>
  <si>
    <t>Cur. Price</t>
  </si>
  <si>
    <t>Max Price</t>
  </si>
  <si>
    <t>Current Value</t>
  </si>
  <si>
    <t>Current Price</t>
  </si>
  <si>
    <t>Digits</t>
  </si>
  <si>
    <t>Database:</t>
  </si>
  <si>
    <t>Db_Name</t>
  </si>
  <si>
    <t>No. of Orders</t>
  </si>
  <si>
    <t>Avg_Vol</t>
  </si>
  <si>
    <t>Avg_Price</t>
  </si>
  <si>
    <t>Current_Price</t>
  </si>
  <si>
    <t>IC Value</t>
  </si>
  <si>
    <t>Limitor</t>
  </si>
  <si>
    <t>Automation On/Off</t>
  </si>
  <si>
    <t>Command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</si>
</sst>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quot;$&quot;* #,##0.00_-;_-&quot;$&quot;* &quot;-&quot;??_-;_-@_-"/>
    <numFmt numFmtId="43" formatCode="_-* #,##0.00_-;\-* #,##0.00_-;_-* &quot;-&quot;??_-;_-@_-"/>
    <numFmt numFmtId="164" formatCode="[$-F400]h:mm:ss\ AM/PM"/>
    <numFmt numFmtId="165" formatCode="yyyy\-mm\-dd"/>
    <numFmt numFmtId="166" formatCode="yyyy\-mm\-dd\ hh:mm"/>
    <numFmt numFmtId="167" formatCode="0.000"/>
    <numFmt numFmtId="168" formatCode="0.00000"/>
    <numFmt numFmtId="170" formatCode="h:mm:ss;@"/>
  </numFmts>
  <fonts count="11" x14ac:knownFonts="1">
    <font>
      <sz val="11"/>
      <color theme="1"/>
      <name val="Calibri"/>
      <family val="2"/>
      <scheme val="minor"/>
    </font>
    <font>
      <sz val="10"/>
      <color indexed="8"/>
      <name val="Arial"/>
      <family val="2"/>
      <charset val="1"/>
    </font>
    <font>
      <b/>
      <sz val="11"/>
      <color indexed="63"/>
      <name val="Arial"/>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sz val="11"/>
      <color theme="3" tint="-0.499984740745262"/>
      <name val="Calibri"/>
      <family val="2"/>
      <scheme val="minor"/>
    </font>
    <font>
      <sz val="11"/>
      <name val="Calibri"/>
      <family val="2"/>
      <scheme val="minor"/>
    </font>
    <font>
      <b/>
      <sz val="11"/>
      <name val="Calibri"/>
      <family val="2"/>
      <scheme val="minor"/>
    </font>
  </fonts>
  <fills count="14">
    <fill>
      <patternFill patternType="none"/>
    </fill>
    <fill>
      <patternFill patternType="gray125"/>
    </fill>
    <fill>
      <patternFill patternType="solid">
        <fgColor indexed="9"/>
        <bgColor indexed="26"/>
      </patternFill>
    </fill>
    <fill>
      <patternFill patternType="solid">
        <fgColor rgb="FF92D050"/>
        <bgColor indexed="64"/>
      </patternFill>
    </fill>
    <fill>
      <patternFill patternType="solid">
        <fgColor theme="9" tint="0.79998168889431442"/>
        <bgColor indexed="64"/>
      </patternFill>
    </fill>
    <fill>
      <patternFill patternType="solid">
        <fgColor theme="9"/>
        <bgColor indexed="64"/>
      </patternFill>
    </fill>
    <fill>
      <patternFill patternType="solid">
        <fgColor rgb="FFFF0000"/>
        <bgColor indexed="64"/>
      </patternFill>
    </fill>
    <fill>
      <patternFill patternType="solid">
        <fgColor theme="4" tint="-0.499984740745262"/>
        <bgColor theme="4" tint="-0.499984740745262"/>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4" tint="0.59999389629810485"/>
        <bgColor theme="4" tint="0.59999389629810485"/>
      </patternFill>
    </fill>
    <fill>
      <patternFill patternType="solid">
        <fgColor theme="8" tint="0.39997558519241921"/>
        <bgColor indexed="64"/>
      </patternFill>
    </fill>
    <fill>
      <patternFill patternType="solid">
        <fgColor theme="4"/>
        <bgColor theme="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5">
    <xf numFmtId="0" fontId="0" fillId="0" borderId="0"/>
    <xf numFmtId="0" fontId="1"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cellStyleXfs>
  <cellXfs count="50">
    <xf numFmtId="0" fontId="0" fillId="0" borderId="0" xfId="0"/>
    <xf numFmtId="0" fontId="2" fillId="2" borderId="0" xfId="1" applyFont="1" applyFill="1" applyAlignment="1">
      <alignment horizontal="left"/>
    </xf>
    <xf numFmtId="0" fontId="1" fillId="0" borderId="0" xfId="1"/>
    <xf numFmtId="0" fontId="5" fillId="3" borderId="1" xfId="0" applyFont="1" applyFill="1" applyBorder="1" applyAlignment="1">
      <alignment horizontal="center"/>
    </xf>
    <xf numFmtId="0" fontId="5" fillId="3" borderId="1" xfId="0" applyFont="1" applyFill="1" applyBorder="1" applyAlignment="1">
      <alignment horizontal="center"/>
    </xf>
    <xf numFmtId="0" fontId="5" fillId="0" borderId="0" xfId="0" applyFont="1"/>
    <xf numFmtId="0" fontId="0" fillId="0" borderId="1" xfId="0" applyBorder="1"/>
    <xf numFmtId="0" fontId="5" fillId="4" borderId="1" xfId="0" applyFont="1" applyFill="1" applyBorder="1" applyAlignment="1">
      <alignment horizontal="center"/>
    </xf>
    <xf numFmtId="165" fontId="5" fillId="4" borderId="1" xfId="0" applyNumberFormat="1" applyFont="1" applyFill="1" applyBorder="1" applyAlignment="1">
      <alignment horizontal="center"/>
    </xf>
    <xf numFmtId="164" fontId="5" fillId="4" borderId="1" xfId="0" applyNumberFormat="1" applyFont="1" applyFill="1" applyBorder="1" applyAlignment="1">
      <alignment horizontal="center"/>
    </xf>
    <xf numFmtId="0" fontId="5" fillId="0" borderId="1" xfId="0" applyFont="1" applyBorder="1" applyAlignment="1">
      <alignment horizontal="center"/>
    </xf>
    <xf numFmtId="0" fontId="5" fillId="0" borderId="1" xfId="0" applyFont="1" applyBorder="1"/>
    <xf numFmtId="0" fontId="0" fillId="0" borderId="1" xfId="0" applyBorder="1" applyAlignment="1">
      <alignment horizontal="center"/>
    </xf>
    <xf numFmtId="0" fontId="5" fillId="0" borderId="0" xfId="0" applyFont="1" applyAlignment="1">
      <alignment horizontal="center"/>
    </xf>
    <xf numFmtId="22" fontId="0" fillId="0" borderId="0" xfId="0" applyNumberFormat="1"/>
    <xf numFmtId="43" fontId="0" fillId="0" borderId="0" xfId="2" applyFont="1"/>
    <xf numFmtId="2" fontId="0" fillId="0" borderId="0" xfId="3" applyNumberFormat="1" applyFont="1"/>
    <xf numFmtId="10" fontId="0" fillId="0" borderId="0" xfId="4" applyNumberFormat="1" applyFont="1"/>
    <xf numFmtId="166" fontId="0" fillId="0" borderId="0" xfId="0" applyNumberFormat="1"/>
    <xf numFmtId="0" fontId="7" fillId="0" borderId="0" xfId="0" applyFont="1"/>
    <xf numFmtId="1" fontId="0" fillId="0" borderId="0" xfId="0" applyNumberFormat="1"/>
    <xf numFmtId="167" fontId="0" fillId="0" borderId="0" xfId="0" applyNumberFormat="1"/>
    <xf numFmtId="2" fontId="0" fillId="0" borderId="1" xfId="0" applyNumberFormat="1" applyBorder="1" applyAlignment="1">
      <alignment horizontal="left"/>
    </xf>
    <xf numFmtId="0" fontId="5" fillId="5" borderId="2" xfId="0" applyFont="1" applyFill="1" applyBorder="1" applyAlignment="1">
      <alignment horizontal="center"/>
    </xf>
    <xf numFmtId="0" fontId="5" fillId="6" borderId="2" xfId="0" applyFont="1" applyFill="1" applyBorder="1" applyAlignment="1">
      <alignment horizontal="center"/>
    </xf>
    <xf numFmtId="0" fontId="4" fillId="7" borderId="1" xfId="0" applyFont="1" applyFill="1" applyBorder="1"/>
    <xf numFmtId="167" fontId="4" fillId="9" borderId="1" xfId="0" applyNumberFormat="1" applyFont="1" applyFill="1" applyBorder="1"/>
    <xf numFmtId="164" fontId="0" fillId="0" borderId="1" xfId="0" applyNumberFormat="1" applyBorder="1" applyAlignment="1">
      <alignment horizontal="left"/>
    </xf>
    <xf numFmtId="168" fontId="9" fillId="0" borderId="1" xfId="0" applyNumberFormat="1" applyFont="1" applyBorder="1"/>
    <xf numFmtId="0" fontId="0" fillId="10" borderId="1" xfId="0" applyFill="1" applyBorder="1"/>
    <xf numFmtId="0" fontId="5" fillId="0" borderId="1" xfId="0" applyFont="1" applyBorder="1" applyAlignment="1">
      <alignment horizontal="center"/>
    </xf>
    <xf numFmtId="0" fontId="0" fillId="0" borderId="1" xfId="0" pivotButton="1" applyBorder="1"/>
    <xf numFmtId="0" fontId="0" fillId="9" borderId="1" xfId="0" pivotButton="1" applyFill="1" applyBorder="1"/>
    <xf numFmtId="167" fontId="6" fillId="9" borderId="1" xfId="0" pivotButton="1" applyNumberFormat="1" applyFont="1" applyFill="1" applyBorder="1"/>
    <xf numFmtId="167" fontId="4" fillId="9" borderId="1" xfId="0" pivotButton="1" applyNumberFormat="1" applyFont="1" applyFill="1" applyBorder="1"/>
    <xf numFmtId="0" fontId="8" fillId="8" borderId="1" xfId="0" pivotButton="1" applyFont="1" applyFill="1" applyBorder="1"/>
    <xf numFmtId="167" fontId="9" fillId="8" borderId="1" xfId="0" pivotButton="1" applyNumberFormat="1" applyFont="1" applyFill="1" applyBorder="1"/>
    <xf numFmtId="167" fontId="10" fillId="8" borderId="1" xfId="0" pivotButton="1" applyNumberFormat="1" applyFont="1" applyFill="1" applyBorder="1"/>
    <xf numFmtId="0" fontId="0" fillId="3" borderId="1" xfId="0" pivotButton="1" applyFill="1" applyBorder="1" applyAlignment="1">
      <alignment horizontal="center" vertical="center"/>
    </xf>
    <xf numFmtId="0" fontId="0" fillId="6" borderId="1" xfId="0" pivotButton="1" applyFill="1" applyBorder="1"/>
    <xf numFmtId="0" fontId="10" fillId="10" borderId="1" xfId="0" applyFont="1" applyFill="1" applyBorder="1"/>
    <xf numFmtId="0" fontId="10" fillId="12" borderId="1" xfId="0" applyFont="1" applyFill="1" applyBorder="1"/>
    <xf numFmtId="0" fontId="5" fillId="6" borderId="0" xfId="0" applyFont="1" applyFill="1" applyBorder="1" applyAlignment="1">
      <alignment horizontal="center"/>
    </xf>
    <xf numFmtId="0" fontId="4" fillId="7" borderId="0" xfId="0" applyFont="1" applyFill="1" applyBorder="1"/>
    <xf numFmtId="1" fontId="4" fillId="13" borderId="3" xfId="0" applyNumberFormat="1" applyFont="1" applyFill="1" applyBorder="1"/>
    <xf numFmtId="170" fontId="0" fillId="0" borderId="0" xfId="0" applyNumberFormat="1"/>
    <xf numFmtId="0" fontId="10" fillId="5" borderId="0" xfId="0" applyFont="1" applyFill="1" applyAlignment="1">
      <alignment horizontal="center"/>
    </xf>
    <xf numFmtId="0" fontId="10" fillId="6" borderId="0" xfId="0" applyFont="1" applyFill="1" applyAlignment="1">
      <alignment horizontal="center"/>
    </xf>
    <xf numFmtId="0" fontId="0" fillId="11" borderId="1" xfId="0" applyFill="1" applyBorder="1" applyAlignment="1">
      <alignment horizontal="center"/>
    </xf>
    <xf numFmtId="0" fontId="0" fillId="0" borderId="0" xfId="0" applyFill="1" applyBorder="1"/>
  </cellXfs>
  <cellStyles count="5">
    <cellStyle name="Comma" xfId="2" builtinId="3"/>
    <cellStyle name="Currency" xfId="3" builtinId="4"/>
    <cellStyle name="Excel Built-in Normal" xfId="1" xr:uid="{3423A349-1F50-400B-A3D7-05E4DBA4B23B}"/>
    <cellStyle name="Normal" xfId="0" builtinId="0"/>
    <cellStyle name="Percent" xfId="4" builtinId="5"/>
  </cellStyles>
  <dxfs count="64">
    <dxf>
      <fill>
        <patternFill>
          <bgColor rgb="FF00B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ill>
        <patternFill>
          <bgColor rgb="FF92D050"/>
        </patternFill>
      </fill>
    </dxf>
    <dxf>
      <fill>
        <patternFill>
          <bgColor rgb="FF92D050"/>
        </patternFill>
      </fill>
    </dxf>
    <dxf>
      <font>
        <color rgb="FF9C0006"/>
      </font>
      <fill>
        <patternFill>
          <bgColor rgb="FFFFC7CE"/>
        </patternFill>
      </fill>
    </dxf>
    <dxf>
      <numFmt numFmtId="14" formatCode="0.00%"/>
    </dxf>
    <dxf>
      <numFmt numFmtId="2" formatCode="0.00"/>
    </dxf>
    <dxf>
      <font>
        <b val="0"/>
        <i val="0"/>
        <strike val="0"/>
        <condense val="0"/>
        <extend val="0"/>
        <outline val="0"/>
        <shadow val="0"/>
        <u val="none"/>
        <vertAlign val="baseline"/>
        <sz val="11"/>
        <color theme="1"/>
        <name val="Calibri"/>
        <family val="2"/>
        <scheme val="minor"/>
      </font>
    </dxf>
    <dxf>
      <numFmt numFmtId="166" formatCode="yyyy\-mm\-dd\ hh:mm"/>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167" formatCode="0.000"/>
    </dxf>
    <dxf>
      <numFmt numFmtId="167" formatCode="0.000"/>
    </dxf>
    <dxf>
      <fill>
        <patternFill patternType="solid">
          <bgColor theme="9" tint="-0.49998474074526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9" tint="-0.499984740745262"/>
        </patternFill>
      </fill>
    </dxf>
    <dxf>
      <font>
        <color theme="3" tint="-0.499984740745262"/>
      </font>
    </dxf>
    <dxf>
      <font>
        <color theme="3" tint="-0.499984740745262"/>
      </font>
    </dxf>
    <dxf>
      <fill>
        <patternFill>
          <bgColor theme="5" tint="0.39997558519241921"/>
        </patternFill>
      </fill>
    </dxf>
    <dxf>
      <fill>
        <patternFill>
          <bgColor theme="5" tint="0.39997558519241921"/>
        </patternFill>
      </fill>
    </dxf>
    <dxf>
      <numFmt numFmtId="167" formatCode="0.000"/>
    </dxf>
    <dxf>
      <numFmt numFmtId="169" formatCode="0.0000"/>
    </dxf>
    <dxf>
      <numFmt numFmtId="168" formatCode="0.00000"/>
    </dxf>
    <dxf>
      <numFmt numFmtId="169" formatCode="0.0000"/>
    </dxf>
    <dxf>
      <numFmt numFmtId="168" formatCode="0.00000"/>
    </dxf>
    <dxf>
      <numFmt numFmtId="169" formatCode="0.0000"/>
    </dxf>
    <dxf>
      <numFmt numFmtId="167" formatCode="0.000"/>
    </dxf>
    <dxf>
      <font>
        <color auto="1"/>
      </font>
    </dxf>
    <dxf>
      <font>
        <color auto="1"/>
      </font>
    </dxf>
    <dxf>
      <numFmt numFmtId="0" formatCode="General"/>
    </dxf>
    <dxf>
      <numFmt numFmtId="2" formatCode="0.00"/>
    </dxf>
    <dxf>
      <numFmt numFmtId="0" formatCode="General"/>
    </dxf>
    <dxf>
      <numFmt numFmtId="168" formatCode="0.00000"/>
    </dxf>
    <dxf>
      <font>
        <color auto="1"/>
      </font>
      <numFmt numFmtId="167" formatCode="0.000"/>
      <fill>
        <patternFill patternType="solid">
          <fgColor indexed="64"/>
          <bgColor theme="5" tint="0.39997558519241921"/>
        </patternFill>
      </fill>
    </dxf>
    <dxf>
      <numFmt numFmtId="0" formatCode="General"/>
    </dxf>
    <dxf>
      <font>
        <b/>
      </font>
      <fill>
        <patternFill patternType="solid">
          <fgColor indexed="64"/>
          <bgColor rgb="FF92D050"/>
        </patternFill>
      </fill>
      <alignment horizontal="center"/>
    </dxf>
    <dxf>
      <fill>
        <patternFill patternType="solid">
          <fgColor indexed="64"/>
          <bgColor rgb="FF92D050"/>
        </patternFill>
      </fill>
    </dxf>
    <dxf>
      <fill>
        <patternFill>
          <fgColor theme="5" tint="0.39997558519241921"/>
        </patternFill>
      </fill>
    </dxf>
    <dxf>
      <fill>
        <patternFill patternType="none">
          <fgColor indexed="64"/>
          <bgColor indexed="65"/>
        </patternFill>
      </fill>
    </dxf>
    <dxf>
      <numFmt numFmtId="167" formatCode="0.000"/>
    </dxf>
    <dxf>
      <numFmt numFmtId="167" formatCode="0.000"/>
    </dxf>
    <dxf>
      <fill>
        <patternFill patternType="solid">
          <bgColor rgb="FFC000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C00000"/>
        </patternFill>
      </fill>
    </dxf>
    <dxf>
      <fill>
        <patternFill>
          <bgColor theme="4" tint="-0.249977111117893"/>
        </patternFill>
      </fill>
    </dxf>
    <dxf>
      <fill>
        <patternFill>
          <bgColor theme="4" tint="-0.249977111117893"/>
        </patternFill>
      </fill>
    </dxf>
    <dxf>
      <numFmt numFmtId="169" formatCode="0.0000"/>
    </dxf>
    <dxf>
      <numFmt numFmtId="168" formatCode="0.00000"/>
    </dxf>
    <dxf>
      <numFmt numFmtId="169" formatCode="0.0000"/>
    </dxf>
    <dxf>
      <numFmt numFmtId="168" formatCode="0.00000"/>
    </dxf>
    <dxf>
      <font>
        <color auto="1"/>
      </font>
    </dxf>
    <dxf>
      <font>
        <color theme="0"/>
      </font>
    </dxf>
    <dxf>
      <numFmt numFmtId="2" formatCode="0.00"/>
    </dxf>
    <dxf>
      <numFmt numFmtId="0" formatCode="General"/>
    </dxf>
    <dxf>
      <numFmt numFmtId="168" formatCode="0.00000"/>
    </dxf>
    <dxf>
      <font>
        <color theme="0"/>
      </font>
      <numFmt numFmtId="167" formatCode="0.000"/>
      <fill>
        <patternFill patternType="solid">
          <fgColor indexed="64"/>
          <bgColor theme="4" tint="-0.249977111117893"/>
        </patternFill>
      </fill>
    </dxf>
    <dxf>
      <numFmt numFmtId="0" formatCode="General"/>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theme" Target="theme/theme1.xml"/><Relationship Id="rId5" Type="http://schemas.openxmlformats.org/officeDocument/2006/relationships/externalLink" Target="externalLinks/externalLink1.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12700</xdr:colOff>
      <xdr:row>0</xdr:row>
      <xdr:rowOff>165100</xdr:rowOff>
    </xdr:from>
    <xdr:to>
      <xdr:col>9</xdr:col>
      <xdr:colOff>1371600</xdr:colOff>
      <xdr:row>5</xdr:row>
      <xdr:rowOff>12700</xdr:rowOff>
    </xdr:to>
    <xdr:sp macro="[1]!Start" textlink="">
      <xdr:nvSpPr>
        <xdr:cNvPr id="2" name="Rectangle 1">
          <a:extLst>
            <a:ext uri="{FF2B5EF4-FFF2-40B4-BE49-F238E27FC236}">
              <a16:creationId xmlns:a16="http://schemas.microsoft.com/office/drawing/2014/main" id="{918678B7-9FE9-4A6B-A1AD-448C4E3EC028}"/>
            </a:ext>
          </a:extLst>
        </xdr:cNvPr>
        <xdr:cNvSpPr/>
      </xdr:nvSpPr>
      <xdr:spPr>
        <a:xfrm>
          <a:off x="16022320" y="165100"/>
          <a:ext cx="1968500" cy="762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SG" sz="2800" b="1"/>
            <a:t>Start</a:t>
          </a:r>
        </a:p>
      </xdr:txBody>
    </xdr:sp>
    <xdr:clientData/>
  </xdr:twoCellAnchor>
  <xdr:twoCellAnchor>
    <xdr:from>
      <xdr:col>8</xdr:col>
      <xdr:colOff>0</xdr:colOff>
      <xdr:row>6</xdr:row>
      <xdr:rowOff>12700</xdr:rowOff>
    </xdr:from>
    <xdr:to>
      <xdr:col>10</xdr:col>
      <xdr:colOff>0</xdr:colOff>
      <xdr:row>10</xdr:row>
      <xdr:rowOff>12700</xdr:rowOff>
    </xdr:to>
    <xdr:sp macro="[1]!insertSQL" textlink="">
      <xdr:nvSpPr>
        <xdr:cNvPr id="3" name="Rectangle 2">
          <a:extLst>
            <a:ext uri="{FF2B5EF4-FFF2-40B4-BE49-F238E27FC236}">
              <a16:creationId xmlns:a16="http://schemas.microsoft.com/office/drawing/2014/main" id="{6A5E7CC0-56FF-4DB7-BB9D-D57C8995BB0E}"/>
            </a:ext>
          </a:extLst>
        </xdr:cNvPr>
        <xdr:cNvSpPr/>
      </xdr:nvSpPr>
      <xdr:spPr>
        <a:xfrm>
          <a:off x="16009620" y="1109980"/>
          <a:ext cx="1981200" cy="7315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t>PnL Upload</a:t>
          </a:r>
        </a:p>
      </xdr:txBody>
    </xdr:sp>
    <xdr:clientData/>
  </xdr:twoCellAnchor>
  <xdr:oneCellAnchor>
    <xdr:from>
      <xdr:col>10</xdr:col>
      <xdr:colOff>241754</xdr:colOff>
      <xdr:row>0</xdr:row>
      <xdr:rowOff>3721</xdr:rowOff>
    </xdr:from>
    <xdr:ext cx="0" cy="1663972"/>
    <mc:AlternateContent xmlns:mc="http://schemas.openxmlformats.org/markup-compatibility/2006">
      <mc:Choice xmlns:a14="http://schemas.microsoft.com/office/drawing/2010/main" Requires="a14">
        <xdr:graphicFrame macro="">
          <xdr:nvGraphicFramePr>
            <xdr:cNvPr id="4" name="GROUP">
              <a:extLst>
                <a:ext uri="{FF2B5EF4-FFF2-40B4-BE49-F238E27FC236}">
                  <a16:creationId xmlns:a16="http://schemas.microsoft.com/office/drawing/2014/main" id="{60B82061-F235-4F01-BFA7-079902405E8D}"/>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dr:sp macro="" textlink="">
          <xdr:nvSpPr>
            <xdr:cNvPr id="0" name=""/>
            <xdr:cNvSpPr>
              <a:spLocks noTextEdit="1"/>
            </xdr:cNvSpPr>
          </xdr:nvSpPr>
          <xdr:spPr>
            <a:xfrm>
              <a:off x="7747454" y="3721"/>
              <a:ext cx="0" cy="166397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17</xdr:col>
      <xdr:colOff>0</xdr:colOff>
      <xdr:row>17</xdr:row>
      <xdr:rowOff>0</xdr:rowOff>
    </xdr:from>
    <xdr:to>
      <xdr:col>18</xdr:col>
      <xdr:colOff>0</xdr:colOff>
      <xdr:row>18</xdr:row>
      <xdr:rowOff>0</xdr:rowOff>
    </xdr:to>
    <xdr:sp macro="[0]!Plus1" textlink="">
      <xdr:nvSpPr>
        <xdr:cNvPr id="5" name="Rectangle 4">
          <a:extLst>
            <a:ext uri="{FF2B5EF4-FFF2-40B4-BE49-F238E27FC236}">
              <a16:creationId xmlns:a16="http://schemas.microsoft.com/office/drawing/2014/main" id="{20FA5BD9-7D9B-4956-8CAB-8CD7213A77E5}"/>
            </a:ext>
          </a:extLst>
        </xdr:cNvPr>
        <xdr:cNvSpPr/>
      </xdr:nvSpPr>
      <xdr:spPr>
        <a:xfrm>
          <a:off x="23340060" y="3108960"/>
          <a:ext cx="990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17</xdr:row>
      <xdr:rowOff>0</xdr:rowOff>
    </xdr:from>
    <xdr:to>
      <xdr:col>17</xdr:col>
      <xdr:colOff>0</xdr:colOff>
      <xdr:row>18</xdr:row>
      <xdr:rowOff>0</xdr:rowOff>
    </xdr:to>
    <xdr:sp macro="[0]!Minus1" textlink="">
      <xdr:nvSpPr>
        <xdr:cNvPr id="6" name="Rectangle 5">
          <a:extLst>
            <a:ext uri="{FF2B5EF4-FFF2-40B4-BE49-F238E27FC236}">
              <a16:creationId xmlns:a16="http://schemas.microsoft.com/office/drawing/2014/main" id="{7049828C-1640-4819-B806-9BDEA8F2780F}"/>
            </a:ext>
          </a:extLst>
        </xdr:cNvPr>
        <xdr:cNvSpPr/>
      </xdr:nvSpPr>
      <xdr:spPr>
        <a:xfrm>
          <a:off x="22349460" y="3108960"/>
          <a:ext cx="990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18</xdr:row>
      <xdr:rowOff>0</xdr:rowOff>
    </xdr:from>
    <xdr:to>
      <xdr:col>18</xdr:col>
      <xdr:colOff>0</xdr:colOff>
      <xdr:row>19</xdr:row>
      <xdr:rowOff>0</xdr:rowOff>
    </xdr:to>
    <xdr:sp macro="[0]!Plus2" textlink="">
      <xdr:nvSpPr>
        <xdr:cNvPr id="7" name="Rectangle 6">
          <a:extLst>
            <a:ext uri="{FF2B5EF4-FFF2-40B4-BE49-F238E27FC236}">
              <a16:creationId xmlns:a16="http://schemas.microsoft.com/office/drawing/2014/main" id="{C1E9330B-4C21-4545-B5CE-FA3A9D2F3089}"/>
            </a:ext>
          </a:extLst>
        </xdr:cNvPr>
        <xdr:cNvSpPr/>
      </xdr:nvSpPr>
      <xdr:spPr>
        <a:xfrm>
          <a:off x="9753600" y="329184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18</xdr:row>
      <xdr:rowOff>0</xdr:rowOff>
    </xdr:from>
    <xdr:to>
      <xdr:col>17</xdr:col>
      <xdr:colOff>0</xdr:colOff>
      <xdr:row>19</xdr:row>
      <xdr:rowOff>0</xdr:rowOff>
    </xdr:to>
    <xdr:sp macro="[0]!Minus2" textlink="">
      <xdr:nvSpPr>
        <xdr:cNvPr id="8" name="Rectangle 7">
          <a:extLst>
            <a:ext uri="{FF2B5EF4-FFF2-40B4-BE49-F238E27FC236}">
              <a16:creationId xmlns:a16="http://schemas.microsoft.com/office/drawing/2014/main" id="{48EBCFA0-DB0D-41EB-BCF2-8C900D45FE69}"/>
            </a:ext>
          </a:extLst>
        </xdr:cNvPr>
        <xdr:cNvSpPr/>
      </xdr:nvSpPr>
      <xdr:spPr>
        <a:xfrm>
          <a:off x="9144000" y="329184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19</xdr:row>
      <xdr:rowOff>0</xdr:rowOff>
    </xdr:from>
    <xdr:to>
      <xdr:col>18</xdr:col>
      <xdr:colOff>0</xdr:colOff>
      <xdr:row>20</xdr:row>
      <xdr:rowOff>0</xdr:rowOff>
    </xdr:to>
    <xdr:sp macro="[0]!Plus3" textlink="">
      <xdr:nvSpPr>
        <xdr:cNvPr id="9" name="Rectangle 8">
          <a:extLst>
            <a:ext uri="{FF2B5EF4-FFF2-40B4-BE49-F238E27FC236}">
              <a16:creationId xmlns:a16="http://schemas.microsoft.com/office/drawing/2014/main" id="{18CDC792-C82A-4C4D-A86E-7B27DF9079C4}"/>
            </a:ext>
          </a:extLst>
        </xdr:cNvPr>
        <xdr:cNvSpPr/>
      </xdr:nvSpPr>
      <xdr:spPr>
        <a:xfrm>
          <a:off x="9753600" y="347472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19</xdr:row>
      <xdr:rowOff>0</xdr:rowOff>
    </xdr:from>
    <xdr:to>
      <xdr:col>17</xdr:col>
      <xdr:colOff>0</xdr:colOff>
      <xdr:row>20</xdr:row>
      <xdr:rowOff>0</xdr:rowOff>
    </xdr:to>
    <xdr:sp macro="[0]!Minus3" textlink="">
      <xdr:nvSpPr>
        <xdr:cNvPr id="10" name="Rectangle 9">
          <a:extLst>
            <a:ext uri="{FF2B5EF4-FFF2-40B4-BE49-F238E27FC236}">
              <a16:creationId xmlns:a16="http://schemas.microsoft.com/office/drawing/2014/main" id="{304AC7A8-369C-4095-B01E-18F0099BD01F}"/>
            </a:ext>
          </a:extLst>
        </xdr:cNvPr>
        <xdr:cNvSpPr/>
      </xdr:nvSpPr>
      <xdr:spPr>
        <a:xfrm>
          <a:off x="9144000" y="347472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20</xdr:row>
      <xdr:rowOff>0</xdr:rowOff>
    </xdr:from>
    <xdr:to>
      <xdr:col>18</xdr:col>
      <xdr:colOff>0</xdr:colOff>
      <xdr:row>21</xdr:row>
      <xdr:rowOff>0</xdr:rowOff>
    </xdr:to>
    <xdr:sp macro="[0]!Minus4" textlink="">
      <xdr:nvSpPr>
        <xdr:cNvPr id="11" name="Rectangle 10">
          <a:extLst>
            <a:ext uri="{FF2B5EF4-FFF2-40B4-BE49-F238E27FC236}">
              <a16:creationId xmlns:a16="http://schemas.microsoft.com/office/drawing/2014/main" id="{EBF6D78A-1934-4974-A6BA-2F2959DF0AC6}"/>
            </a:ext>
          </a:extLst>
        </xdr:cNvPr>
        <xdr:cNvSpPr/>
      </xdr:nvSpPr>
      <xdr:spPr>
        <a:xfrm>
          <a:off x="9753600" y="365760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20</xdr:row>
      <xdr:rowOff>0</xdr:rowOff>
    </xdr:from>
    <xdr:to>
      <xdr:col>17</xdr:col>
      <xdr:colOff>0</xdr:colOff>
      <xdr:row>21</xdr:row>
      <xdr:rowOff>0</xdr:rowOff>
    </xdr:to>
    <xdr:sp macro="[0]!Minus4" textlink="">
      <xdr:nvSpPr>
        <xdr:cNvPr id="12" name="Rectangle 11">
          <a:extLst>
            <a:ext uri="{FF2B5EF4-FFF2-40B4-BE49-F238E27FC236}">
              <a16:creationId xmlns:a16="http://schemas.microsoft.com/office/drawing/2014/main" id="{69DE8BFA-3A8D-4E46-836F-36223EB185C8}"/>
            </a:ext>
          </a:extLst>
        </xdr:cNvPr>
        <xdr:cNvSpPr/>
      </xdr:nvSpPr>
      <xdr:spPr>
        <a:xfrm>
          <a:off x="9144000" y="365760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21</xdr:row>
      <xdr:rowOff>0</xdr:rowOff>
    </xdr:from>
    <xdr:to>
      <xdr:col>18</xdr:col>
      <xdr:colOff>0</xdr:colOff>
      <xdr:row>22</xdr:row>
      <xdr:rowOff>0</xdr:rowOff>
    </xdr:to>
    <xdr:sp macro="[0]!Plus5" textlink="">
      <xdr:nvSpPr>
        <xdr:cNvPr id="13" name="Rectangle 12">
          <a:extLst>
            <a:ext uri="{FF2B5EF4-FFF2-40B4-BE49-F238E27FC236}">
              <a16:creationId xmlns:a16="http://schemas.microsoft.com/office/drawing/2014/main" id="{9A858EA0-1479-49D0-9FF0-68E984ED4A04}"/>
            </a:ext>
          </a:extLst>
        </xdr:cNvPr>
        <xdr:cNvSpPr/>
      </xdr:nvSpPr>
      <xdr:spPr>
        <a:xfrm>
          <a:off x="9753600" y="384048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21</xdr:row>
      <xdr:rowOff>0</xdr:rowOff>
    </xdr:from>
    <xdr:to>
      <xdr:col>17</xdr:col>
      <xdr:colOff>0</xdr:colOff>
      <xdr:row>22</xdr:row>
      <xdr:rowOff>0</xdr:rowOff>
    </xdr:to>
    <xdr:sp macro="[0]!Minus5" textlink="">
      <xdr:nvSpPr>
        <xdr:cNvPr id="14" name="Rectangle 13">
          <a:extLst>
            <a:ext uri="{FF2B5EF4-FFF2-40B4-BE49-F238E27FC236}">
              <a16:creationId xmlns:a16="http://schemas.microsoft.com/office/drawing/2014/main" id="{59E6FFC9-FF4B-4C8A-9A52-336B3552F044}"/>
            </a:ext>
          </a:extLst>
        </xdr:cNvPr>
        <xdr:cNvSpPr/>
      </xdr:nvSpPr>
      <xdr:spPr>
        <a:xfrm>
          <a:off x="9144000" y="384048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22</xdr:row>
      <xdr:rowOff>0</xdr:rowOff>
    </xdr:from>
    <xdr:to>
      <xdr:col>18</xdr:col>
      <xdr:colOff>0</xdr:colOff>
      <xdr:row>23</xdr:row>
      <xdr:rowOff>0</xdr:rowOff>
    </xdr:to>
    <xdr:sp macro="[0]!Plus6" textlink="">
      <xdr:nvSpPr>
        <xdr:cNvPr id="15" name="Rectangle 14">
          <a:extLst>
            <a:ext uri="{FF2B5EF4-FFF2-40B4-BE49-F238E27FC236}">
              <a16:creationId xmlns:a16="http://schemas.microsoft.com/office/drawing/2014/main" id="{9E6D90CD-B20B-4ABC-AFE2-2FCF06780DD3}"/>
            </a:ext>
          </a:extLst>
        </xdr:cNvPr>
        <xdr:cNvSpPr/>
      </xdr:nvSpPr>
      <xdr:spPr>
        <a:xfrm>
          <a:off x="9753600" y="402336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22</xdr:row>
      <xdr:rowOff>0</xdr:rowOff>
    </xdr:from>
    <xdr:to>
      <xdr:col>17</xdr:col>
      <xdr:colOff>0</xdr:colOff>
      <xdr:row>23</xdr:row>
      <xdr:rowOff>0</xdr:rowOff>
    </xdr:to>
    <xdr:sp macro="[0]!Minus6" textlink="">
      <xdr:nvSpPr>
        <xdr:cNvPr id="16" name="Rectangle 15">
          <a:extLst>
            <a:ext uri="{FF2B5EF4-FFF2-40B4-BE49-F238E27FC236}">
              <a16:creationId xmlns:a16="http://schemas.microsoft.com/office/drawing/2014/main" id="{B84CE549-4347-4854-9840-16E92F92B2E8}"/>
            </a:ext>
          </a:extLst>
        </xdr:cNvPr>
        <xdr:cNvSpPr/>
      </xdr:nvSpPr>
      <xdr:spPr>
        <a:xfrm>
          <a:off x="9144000" y="402336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23</xdr:row>
      <xdr:rowOff>0</xdr:rowOff>
    </xdr:from>
    <xdr:to>
      <xdr:col>18</xdr:col>
      <xdr:colOff>0</xdr:colOff>
      <xdr:row>24</xdr:row>
      <xdr:rowOff>0</xdr:rowOff>
    </xdr:to>
    <xdr:sp macro="[0]!Minus7" textlink="">
      <xdr:nvSpPr>
        <xdr:cNvPr id="19" name="Rectangle 18">
          <a:extLst>
            <a:ext uri="{FF2B5EF4-FFF2-40B4-BE49-F238E27FC236}">
              <a16:creationId xmlns:a16="http://schemas.microsoft.com/office/drawing/2014/main" id="{83A59344-FBC8-476F-82B4-3C24F325C168}"/>
            </a:ext>
          </a:extLst>
        </xdr:cNvPr>
        <xdr:cNvSpPr/>
      </xdr:nvSpPr>
      <xdr:spPr>
        <a:xfrm>
          <a:off x="9753600" y="420624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23</xdr:row>
      <xdr:rowOff>0</xdr:rowOff>
    </xdr:from>
    <xdr:to>
      <xdr:col>17</xdr:col>
      <xdr:colOff>0</xdr:colOff>
      <xdr:row>24</xdr:row>
      <xdr:rowOff>0</xdr:rowOff>
    </xdr:to>
    <xdr:sp macro="[0]!Minus7" textlink="">
      <xdr:nvSpPr>
        <xdr:cNvPr id="20" name="Rectangle 19">
          <a:extLst>
            <a:ext uri="{FF2B5EF4-FFF2-40B4-BE49-F238E27FC236}">
              <a16:creationId xmlns:a16="http://schemas.microsoft.com/office/drawing/2014/main" id="{692C3BAD-C458-44D5-83D2-4E6059A001F8}"/>
            </a:ext>
          </a:extLst>
        </xdr:cNvPr>
        <xdr:cNvSpPr/>
      </xdr:nvSpPr>
      <xdr:spPr>
        <a:xfrm>
          <a:off x="9144000" y="420624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24</xdr:row>
      <xdr:rowOff>0</xdr:rowOff>
    </xdr:from>
    <xdr:to>
      <xdr:col>18</xdr:col>
      <xdr:colOff>0</xdr:colOff>
      <xdr:row>25</xdr:row>
      <xdr:rowOff>0</xdr:rowOff>
    </xdr:to>
    <xdr:sp macro="[0]!Plus8" textlink="">
      <xdr:nvSpPr>
        <xdr:cNvPr id="21" name="Rectangle 20">
          <a:extLst>
            <a:ext uri="{FF2B5EF4-FFF2-40B4-BE49-F238E27FC236}">
              <a16:creationId xmlns:a16="http://schemas.microsoft.com/office/drawing/2014/main" id="{7BE1A8BF-DF2B-4CC4-9653-1F8EDFC64094}"/>
            </a:ext>
          </a:extLst>
        </xdr:cNvPr>
        <xdr:cNvSpPr/>
      </xdr:nvSpPr>
      <xdr:spPr>
        <a:xfrm>
          <a:off x="9753600" y="438912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24</xdr:row>
      <xdr:rowOff>0</xdr:rowOff>
    </xdr:from>
    <xdr:to>
      <xdr:col>17</xdr:col>
      <xdr:colOff>0</xdr:colOff>
      <xdr:row>25</xdr:row>
      <xdr:rowOff>0</xdr:rowOff>
    </xdr:to>
    <xdr:sp macro="[0]!Minus8" textlink="">
      <xdr:nvSpPr>
        <xdr:cNvPr id="22" name="Rectangle 21">
          <a:extLst>
            <a:ext uri="{FF2B5EF4-FFF2-40B4-BE49-F238E27FC236}">
              <a16:creationId xmlns:a16="http://schemas.microsoft.com/office/drawing/2014/main" id="{1264F7C5-DB4B-4685-B52B-94CD3222060D}"/>
            </a:ext>
          </a:extLst>
        </xdr:cNvPr>
        <xdr:cNvSpPr/>
      </xdr:nvSpPr>
      <xdr:spPr>
        <a:xfrm>
          <a:off x="9144000" y="438912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25</xdr:row>
      <xdr:rowOff>0</xdr:rowOff>
    </xdr:from>
    <xdr:to>
      <xdr:col>18</xdr:col>
      <xdr:colOff>0</xdr:colOff>
      <xdr:row>26</xdr:row>
      <xdr:rowOff>0</xdr:rowOff>
    </xdr:to>
    <xdr:sp macro="[0]!Plus9" textlink="">
      <xdr:nvSpPr>
        <xdr:cNvPr id="23" name="Rectangle 22">
          <a:extLst>
            <a:ext uri="{FF2B5EF4-FFF2-40B4-BE49-F238E27FC236}">
              <a16:creationId xmlns:a16="http://schemas.microsoft.com/office/drawing/2014/main" id="{1A3FC1D8-437B-4C08-8CBB-17D224E0C508}"/>
            </a:ext>
          </a:extLst>
        </xdr:cNvPr>
        <xdr:cNvSpPr/>
      </xdr:nvSpPr>
      <xdr:spPr>
        <a:xfrm>
          <a:off x="9753600" y="457200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25</xdr:row>
      <xdr:rowOff>0</xdr:rowOff>
    </xdr:from>
    <xdr:to>
      <xdr:col>17</xdr:col>
      <xdr:colOff>0</xdr:colOff>
      <xdr:row>26</xdr:row>
      <xdr:rowOff>0</xdr:rowOff>
    </xdr:to>
    <xdr:sp macro="[0]!Minus9" textlink="">
      <xdr:nvSpPr>
        <xdr:cNvPr id="24" name="Rectangle 23">
          <a:extLst>
            <a:ext uri="{FF2B5EF4-FFF2-40B4-BE49-F238E27FC236}">
              <a16:creationId xmlns:a16="http://schemas.microsoft.com/office/drawing/2014/main" id="{40F705B8-1E8E-4E53-B894-EA988045E982}"/>
            </a:ext>
          </a:extLst>
        </xdr:cNvPr>
        <xdr:cNvSpPr/>
      </xdr:nvSpPr>
      <xdr:spPr>
        <a:xfrm>
          <a:off x="9144000" y="457200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26</xdr:row>
      <xdr:rowOff>0</xdr:rowOff>
    </xdr:from>
    <xdr:to>
      <xdr:col>18</xdr:col>
      <xdr:colOff>0</xdr:colOff>
      <xdr:row>27</xdr:row>
      <xdr:rowOff>0</xdr:rowOff>
    </xdr:to>
    <xdr:sp macro="[0]!Plus10" textlink="">
      <xdr:nvSpPr>
        <xdr:cNvPr id="25" name="Rectangle 24">
          <a:extLst>
            <a:ext uri="{FF2B5EF4-FFF2-40B4-BE49-F238E27FC236}">
              <a16:creationId xmlns:a16="http://schemas.microsoft.com/office/drawing/2014/main" id="{FF47D916-7A70-4195-B3B6-FC075611D38D}"/>
            </a:ext>
          </a:extLst>
        </xdr:cNvPr>
        <xdr:cNvSpPr/>
      </xdr:nvSpPr>
      <xdr:spPr>
        <a:xfrm>
          <a:off x="9753600" y="475488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26</xdr:row>
      <xdr:rowOff>0</xdr:rowOff>
    </xdr:from>
    <xdr:to>
      <xdr:col>17</xdr:col>
      <xdr:colOff>0</xdr:colOff>
      <xdr:row>27</xdr:row>
      <xdr:rowOff>0</xdr:rowOff>
    </xdr:to>
    <xdr:sp macro="[0]!Minus10" textlink="">
      <xdr:nvSpPr>
        <xdr:cNvPr id="26" name="Rectangle 25">
          <a:extLst>
            <a:ext uri="{FF2B5EF4-FFF2-40B4-BE49-F238E27FC236}">
              <a16:creationId xmlns:a16="http://schemas.microsoft.com/office/drawing/2014/main" id="{0016CAFD-F564-4063-96A1-89636D5D2227}"/>
            </a:ext>
          </a:extLst>
        </xdr:cNvPr>
        <xdr:cNvSpPr/>
      </xdr:nvSpPr>
      <xdr:spPr>
        <a:xfrm>
          <a:off x="9144000" y="475488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27</xdr:row>
      <xdr:rowOff>0</xdr:rowOff>
    </xdr:from>
    <xdr:to>
      <xdr:col>18</xdr:col>
      <xdr:colOff>0</xdr:colOff>
      <xdr:row>28</xdr:row>
      <xdr:rowOff>0</xdr:rowOff>
    </xdr:to>
    <xdr:sp macro="[0]!Plus11" textlink="">
      <xdr:nvSpPr>
        <xdr:cNvPr id="27" name="Rectangle 26">
          <a:extLst>
            <a:ext uri="{FF2B5EF4-FFF2-40B4-BE49-F238E27FC236}">
              <a16:creationId xmlns:a16="http://schemas.microsoft.com/office/drawing/2014/main" id="{8784734A-195E-41ED-A7E8-296FE88CE11A}"/>
            </a:ext>
          </a:extLst>
        </xdr:cNvPr>
        <xdr:cNvSpPr/>
      </xdr:nvSpPr>
      <xdr:spPr>
        <a:xfrm>
          <a:off x="9753600" y="493776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27</xdr:row>
      <xdr:rowOff>0</xdr:rowOff>
    </xdr:from>
    <xdr:to>
      <xdr:col>17</xdr:col>
      <xdr:colOff>0</xdr:colOff>
      <xdr:row>28</xdr:row>
      <xdr:rowOff>0</xdr:rowOff>
    </xdr:to>
    <xdr:sp macro="[0]!Minus11" textlink="">
      <xdr:nvSpPr>
        <xdr:cNvPr id="28" name="Rectangle 27">
          <a:extLst>
            <a:ext uri="{FF2B5EF4-FFF2-40B4-BE49-F238E27FC236}">
              <a16:creationId xmlns:a16="http://schemas.microsoft.com/office/drawing/2014/main" id="{B7B70ECD-0409-4AD3-8EEB-8865612FA6B2}"/>
            </a:ext>
          </a:extLst>
        </xdr:cNvPr>
        <xdr:cNvSpPr/>
      </xdr:nvSpPr>
      <xdr:spPr>
        <a:xfrm>
          <a:off x="9144000" y="493776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28</xdr:row>
      <xdr:rowOff>0</xdr:rowOff>
    </xdr:from>
    <xdr:to>
      <xdr:col>18</xdr:col>
      <xdr:colOff>0</xdr:colOff>
      <xdr:row>29</xdr:row>
      <xdr:rowOff>0</xdr:rowOff>
    </xdr:to>
    <xdr:sp macro="[0]!Plus12" textlink="">
      <xdr:nvSpPr>
        <xdr:cNvPr id="29" name="Rectangle 28">
          <a:extLst>
            <a:ext uri="{FF2B5EF4-FFF2-40B4-BE49-F238E27FC236}">
              <a16:creationId xmlns:a16="http://schemas.microsoft.com/office/drawing/2014/main" id="{1C4C9A06-EEE4-4CEA-8E8E-89E87ECD0BA7}"/>
            </a:ext>
          </a:extLst>
        </xdr:cNvPr>
        <xdr:cNvSpPr/>
      </xdr:nvSpPr>
      <xdr:spPr>
        <a:xfrm>
          <a:off x="9753600" y="512064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28</xdr:row>
      <xdr:rowOff>0</xdr:rowOff>
    </xdr:from>
    <xdr:to>
      <xdr:col>17</xdr:col>
      <xdr:colOff>0</xdr:colOff>
      <xdr:row>29</xdr:row>
      <xdr:rowOff>0</xdr:rowOff>
    </xdr:to>
    <xdr:sp macro="[0]!Minus12" textlink="">
      <xdr:nvSpPr>
        <xdr:cNvPr id="30" name="Rectangle 29">
          <a:extLst>
            <a:ext uri="{FF2B5EF4-FFF2-40B4-BE49-F238E27FC236}">
              <a16:creationId xmlns:a16="http://schemas.microsoft.com/office/drawing/2014/main" id="{E025CF40-D69F-407A-9BD3-EFDA777ED6D9}"/>
            </a:ext>
          </a:extLst>
        </xdr:cNvPr>
        <xdr:cNvSpPr/>
      </xdr:nvSpPr>
      <xdr:spPr>
        <a:xfrm>
          <a:off x="9144000" y="512064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29</xdr:row>
      <xdr:rowOff>0</xdr:rowOff>
    </xdr:from>
    <xdr:to>
      <xdr:col>18</xdr:col>
      <xdr:colOff>0</xdr:colOff>
      <xdr:row>30</xdr:row>
      <xdr:rowOff>0</xdr:rowOff>
    </xdr:to>
    <xdr:sp macro="[0]!Plus13" textlink="">
      <xdr:nvSpPr>
        <xdr:cNvPr id="31" name="Rectangle 30">
          <a:extLst>
            <a:ext uri="{FF2B5EF4-FFF2-40B4-BE49-F238E27FC236}">
              <a16:creationId xmlns:a16="http://schemas.microsoft.com/office/drawing/2014/main" id="{7EA86210-0CD2-418B-8B6D-CB70477CCF1C}"/>
            </a:ext>
          </a:extLst>
        </xdr:cNvPr>
        <xdr:cNvSpPr/>
      </xdr:nvSpPr>
      <xdr:spPr>
        <a:xfrm>
          <a:off x="9753600" y="530352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29</xdr:row>
      <xdr:rowOff>0</xdr:rowOff>
    </xdr:from>
    <xdr:to>
      <xdr:col>17</xdr:col>
      <xdr:colOff>0</xdr:colOff>
      <xdr:row>30</xdr:row>
      <xdr:rowOff>0</xdr:rowOff>
    </xdr:to>
    <xdr:sp macro="[0]!Minus13" textlink="">
      <xdr:nvSpPr>
        <xdr:cNvPr id="32" name="Rectangle 31">
          <a:extLst>
            <a:ext uri="{FF2B5EF4-FFF2-40B4-BE49-F238E27FC236}">
              <a16:creationId xmlns:a16="http://schemas.microsoft.com/office/drawing/2014/main" id="{02065EC6-EA39-43AA-BB15-11B5E5EEBF02}"/>
            </a:ext>
          </a:extLst>
        </xdr:cNvPr>
        <xdr:cNvSpPr/>
      </xdr:nvSpPr>
      <xdr:spPr>
        <a:xfrm>
          <a:off x="9144000" y="530352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30</xdr:row>
      <xdr:rowOff>0</xdr:rowOff>
    </xdr:from>
    <xdr:to>
      <xdr:col>18</xdr:col>
      <xdr:colOff>0</xdr:colOff>
      <xdr:row>31</xdr:row>
      <xdr:rowOff>0</xdr:rowOff>
    </xdr:to>
    <xdr:sp macro="[0]!Plus14" textlink="">
      <xdr:nvSpPr>
        <xdr:cNvPr id="33" name="Rectangle 32">
          <a:extLst>
            <a:ext uri="{FF2B5EF4-FFF2-40B4-BE49-F238E27FC236}">
              <a16:creationId xmlns:a16="http://schemas.microsoft.com/office/drawing/2014/main" id="{8B9FF867-2553-48AD-BA38-EA5A4E90D5DA}"/>
            </a:ext>
          </a:extLst>
        </xdr:cNvPr>
        <xdr:cNvSpPr/>
      </xdr:nvSpPr>
      <xdr:spPr>
        <a:xfrm>
          <a:off x="9753600" y="548640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30</xdr:row>
      <xdr:rowOff>0</xdr:rowOff>
    </xdr:from>
    <xdr:to>
      <xdr:col>17</xdr:col>
      <xdr:colOff>0</xdr:colOff>
      <xdr:row>31</xdr:row>
      <xdr:rowOff>0</xdr:rowOff>
    </xdr:to>
    <xdr:sp macro="[0]!Minus14" textlink="">
      <xdr:nvSpPr>
        <xdr:cNvPr id="34" name="Rectangle 33">
          <a:extLst>
            <a:ext uri="{FF2B5EF4-FFF2-40B4-BE49-F238E27FC236}">
              <a16:creationId xmlns:a16="http://schemas.microsoft.com/office/drawing/2014/main" id="{C8AD70EC-A7CD-4BE0-BAB0-6CB75731F8F4}"/>
            </a:ext>
          </a:extLst>
        </xdr:cNvPr>
        <xdr:cNvSpPr/>
      </xdr:nvSpPr>
      <xdr:spPr>
        <a:xfrm>
          <a:off x="9144000" y="548640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31</xdr:row>
      <xdr:rowOff>0</xdr:rowOff>
    </xdr:from>
    <xdr:to>
      <xdr:col>18</xdr:col>
      <xdr:colOff>0</xdr:colOff>
      <xdr:row>32</xdr:row>
      <xdr:rowOff>0</xdr:rowOff>
    </xdr:to>
    <xdr:sp macro="[0]!Plus15" textlink="">
      <xdr:nvSpPr>
        <xdr:cNvPr id="35" name="Rectangle 34">
          <a:extLst>
            <a:ext uri="{FF2B5EF4-FFF2-40B4-BE49-F238E27FC236}">
              <a16:creationId xmlns:a16="http://schemas.microsoft.com/office/drawing/2014/main" id="{B6E6B07E-722D-4E6B-91AB-0ED4E232D8D0}"/>
            </a:ext>
          </a:extLst>
        </xdr:cNvPr>
        <xdr:cNvSpPr/>
      </xdr:nvSpPr>
      <xdr:spPr>
        <a:xfrm>
          <a:off x="9753600" y="566928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31</xdr:row>
      <xdr:rowOff>0</xdr:rowOff>
    </xdr:from>
    <xdr:to>
      <xdr:col>17</xdr:col>
      <xdr:colOff>0</xdr:colOff>
      <xdr:row>32</xdr:row>
      <xdr:rowOff>0</xdr:rowOff>
    </xdr:to>
    <xdr:sp macro="[0]!Minus15" textlink="">
      <xdr:nvSpPr>
        <xdr:cNvPr id="36" name="Rectangle 35">
          <a:extLst>
            <a:ext uri="{FF2B5EF4-FFF2-40B4-BE49-F238E27FC236}">
              <a16:creationId xmlns:a16="http://schemas.microsoft.com/office/drawing/2014/main" id="{DA230F67-4346-4DA5-8C7A-495D22807568}"/>
            </a:ext>
          </a:extLst>
        </xdr:cNvPr>
        <xdr:cNvSpPr/>
      </xdr:nvSpPr>
      <xdr:spPr>
        <a:xfrm>
          <a:off x="9144000" y="566928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32</xdr:row>
      <xdr:rowOff>0</xdr:rowOff>
    </xdr:from>
    <xdr:to>
      <xdr:col>18</xdr:col>
      <xdr:colOff>0</xdr:colOff>
      <xdr:row>33</xdr:row>
      <xdr:rowOff>0</xdr:rowOff>
    </xdr:to>
    <xdr:sp macro="[0]!Plus16" textlink="">
      <xdr:nvSpPr>
        <xdr:cNvPr id="37" name="Rectangle 36">
          <a:extLst>
            <a:ext uri="{FF2B5EF4-FFF2-40B4-BE49-F238E27FC236}">
              <a16:creationId xmlns:a16="http://schemas.microsoft.com/office/drawing/2014/main" id="{1ACD4C6F-3896-4D09-9210-791AAF234598}"/>
            </a:ext>
          </a:extLst>
        </xdr:cNvPr>
        <xdr:cNvSpPr/>
      </xdr:nvSpPr>
      <xdr:spPr>
        <a:xfrm>
          <a:off x="9753600" y="585216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32</xdr:row>
      <xdr:rowOff>0</xdr:rowOff>
    </xdr:from>
    <xdr:to>
      <xdr:col>17</xdr:col>
      <xdr:colOff>0</xdr:colOff>
      <xdr:row>33</xdr:row>
      <xdr:rowOff>0</xdr:rowOff>
    </xdr:to>
    <xdr:sp macro="[0]!Minus16" textlink="">
      <xdr:nvSpPr>
        <xdr:cNvPr id="38" name="Rectangle 37">
          <a:extLst>
            <a:ext uri="{FF2B5EF4-FFF2-40B4-BE49-F238E27FC236}">
              <a16:creationId xmlns:a16="http://schemas.microsoft.com/office/drawing/2014/main" id="{F8F0A5C0-DCED-4C6D-A2DC-7F3D4470E551}"/>
            </a:ext>
          </a:extLst>
        </xdr:cNvPr>
        <xdr:cNvSpPr/>
      </xdr:nvSpPr>
      <xdr:spPr>
        <a:xfrm>
          <a:off x="9144000" y="585216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33</xdr:row>
      <xdr:rowOff>0</xdr:rowOff>
    </xdr:from>
    <xdr:to>
      <xdr:col>18</xdr:col>
      <xdr:colOff>0</xdr:colOff>
      <xdr:row>34</xdr:row>
      <xdr:rowOff>0</xdr:rowOff>
    </xdr:to>
    <xdr:sp macro="[0]!Plus17" textlink="">
      <xdr:nvSpPr>
        <xdr:cNvPr id="39" name="Rectangle 38">
          <a:extLst>
            <a:ext uri="{FF2B5EF4-FFF2-40B4-BE49-F238E27FC236}">
              <a16:creationId xmlns:a16="http://schemas.microsoft.com/office/drawing/2014/main" id="{B2C330E5-5E19-4D0E-A268-567E1E0B8059}"/>
            </a:ext>
          </a:extLst>
        </xdr:cNvPr>
        <xdr:cNvSpPr/>
      </xdr:nvSpPr>
      <xdr:spPr>
        <a:xfrm>
          <a:off x="9753600" y="603504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33</xdr:row>
      <xdr:rowOff>0</xdr:rowOff>
    </xdr:from>
    <xdr:to>
      <xdr:col>17</xdr:col>
      <xdr:colOff>0</xdr:colOff>
      <xdr:row>34</xdr:row>
      <xdr:rowOff>0</xdr:rowOff>
    </xdr:to>
    <xdr:sp macro="[0]!Minus17" textlink="">
      <xdr:nvSpPr>
        <xdr:cNvPr id="40" name="Rectangle 39">
          <a:extLst>
            <a:ext uri="{FF2B5EF4-FFF2-40B4-BE49-F238E27FC236}">
              <a16:creationId xmlns:a16="http://schemas.microsoft.com/office/drawing/2014/main" id="{ABF32444-022A-4833-8F7A-B496F8FF098A}"/>
            </a:ext>
          </a:extLst>
        </xdr:cNvPr>
        <xdr:cNvSpPr/>
      </xdr:nvSpPr>
      <xdr:spPr>
        <a:xfrm>
          <a:off x="9144000" y="603504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34</xdr:row>
      <xdr:rowOff>0</xdr:rowOff>
    </xdr:from>
    <xdr:to>
      <xdr:col>18</xdr:col>
      <xdr:colOff>0</xdr:colOff>
      <xdr:row>35</xdr:row>
      <xdr:rowOff>0</xdr:rowOff>
    </xdr:to>
    <xdr:sp macro="[0]!Plus18" textlink="">
      <xdr:nvSpPr>
        <xdr:cNvPr id="41" name="Rectangle 40">
          <a:extLst>
            <a:ext uri="{FF2B5EF4-FFF2-40B4-BE49-F238E27FC236}">
              <a16:creationId xmlns:a16="http://schemas.microsoft.com/office/drawing/2014/main" id="{4822466A-EEAD-43A6-B6E5-EC1FA918E5A1}"/>
            </a:ext>
          </a:extLst>
        </xdr:cNvPr>
        <xdr:cNvSpPr/>
      </xdr:nvSpPr>
      <xdr:spPr>
        <a:xfrm>
          <a:off x="9753600" y="621792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34</xdr:row>
      <xdr:rowOff>0</xdr:rowOff>
    </xdr:from>
    <xdr:to>
      <xdr:col>17</xdr:col>
      <xdr:colOff>0</xdr:colOff>
      <xdr:row>35</xdr:row>
      <xdr:rowOff>0</xdr:rowOff>
    </xdr:to>
    <xdr:sp macro="[0]!Minus18" textlink="">
      <xdr:nvSpPr>
        <xdr:cNvPr id="42" name="Rectangle 41">
          <a:extLst>
            <a:ext uri="{FF2B5EF4-FFF2-40B4-BE49-F238E27FC236}">
              <a16:creationId xmlns:a16="http://schemas.microsoft.com/office/drawing/2014/main" id="{719FF0FA-356E-43FA-B675-DDC54F01E029}"/>
            </a:ext>
          </a:extLst>
        </xdr:cNvPr>
        <xdr:cNvSpPr/>
      </xdr:nvSpPr>
      <xdr:spPr>
        <a:xfrm>
          <a:off x="9144000" y="621792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35</xdr:row>
      <xdr:rowOff>0</xdr:rowOff>
    </xdr:from>
    <xdr:to>
      <xdr:col>18</xdr:col>
      <xdr:colOff>0</xdr:colOff>
      <xdr:row>36</xdr:row>
      <xdr:rowOff>0</xdr:rowOff>
    </xdr:to>
    <xdr:sp macro="[0]!Plus19" textlink="">
      <xdr:nvSpPr>
        <xdr:cNvPr id="43" name="Rectangle 42">
          <a:extLst>
            <a:ext uri="{FF2B5EF4-FFF2-40B4-BE49-F238E27FC236}">
              <a16:creationId xmlns:a16="http://schemas.microsoft.com/office/drawing/2014/main" id="{CD04464C-BAA8-456E-AC01-E0C254EA4876}"/>
            </a:ext>
          </a:extLst>
        </xdr:cNvPr>
        <xdr:cNvSpPr/>
      </xdr:nvSpPr>
      <xdr:spPr>
        <a:xfrm>
          <a:off x="9753600" y="640080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35</xdr:row>
      <xdr:rowOff>0</xdr:rowOff>
    </xdr:from>
    <xdr:to>
      <xdr:col>17</xdr:col>
      <xdr:colOff>0</xdr:colOff>
      <xdr:row>36</xdr:row>
      <xdr:rowOff>0</xdr:rowOff>
    </xdr:to>
    <xdr:sp macro="[0]!Minus19" textlink="">
      <xdr:nvSpPr>
        <xdr:cNvPr id="44" name="Rectangle 43">
          <a:extLst>
            <a:ext uri="{FF2B5EF4-FFF2-40B4-BE49-F238E27FC236}">
              <a16:creationId xmlns:a16="http://schemas.microsoft.com/office/drawing/2014/main" id="{3A23ED03-7208-4F39-A015-5558A6D191CD}"/>
            </a:ext>
          </a:extLst>
        </xdr:cNvPr>
        <xdr:cNvSpPr/>
      </xdr:nvSpPr>
      <xdr:spPr>
        <a:xfrm>
          <a:off x="9144000" y="640080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36</xdr:row>
      <xdr:rowOff>0</xdr:rowOff>
    </xdr:from>
    <xdr:to>
      <xdr:col>18</xdr:col>
      <xdr:colOff>0</xdr:colOff>
      <xdr:row>37</xdr:row>
      <xdr:rowOff>0</xdr:rowOff>
    </xdr:to>
    <xdr:sp macro="[0]!Plus20" textlink="">
      <xdr:nvSpPr>
        <xdr:cNvPr id="45" name="Rectangle 44">
          <a:extLst>
            <a:ext uri="{FF2B5EF4-FFF2-40B4-BE49-F238E27FC236}">
              <a16:creationId xmlns:a16="http://schemas.microsoft.com/office/drawing/2014/main" id="{7114CB6D-48AA-4C55-9B35-691E808B3538}"/>
            </a:ext>
          </a:extLst>
        </xdr:cNvPr>
        <xdr:cNvSpPr/>
      </xdr:nvSpPr>
      <xdr:spPr>
        <a:xfrm>
          <a:off x="9753600" y="658368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36</xdr:row>
      <xdr:rowOff>0</xdr:rowOff>
    </xdr:from>
    <xdr:to>
      <xdr:col>17</xdr:col>
      <xdr:colOff>0</xdr:colOff>
      <xdr:row>37</xdr:row>
      <xdr:rowOff>0</xdr:rowOff>
    </xdr:to>
    <xdr:sp macro="[0]!Minus20" textlink="">
      <xdr:nvSpPr>
        <xdr:cNvPr id="46" name="Rectangle 45">
          <a:extLst>
            <a:ext uri="{FF2B5EF4-FFF2-40B4-BE49-F238E27FC236}">
              <a16:creationId xmlns:a16="http://schemas.microsoft.com/office/drawing/2014/main" id="{EC05E2AF-77DF-424A-8399-733B87F4D030}"/>
            </a:ext>
          </a:extLst>
        </xdr:cNvPr>
        <xdr:cNvSpPr/>
      </xdr:nvSpPr>
      <xdr:spPr>
        <a:xfrm>
          <a:off x="9144000" y="658368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37</xdr:row>
      <xdr:rowOff>0</xdr:rowOff>
    </xdr:from>
    <xdr:to>
      <xdr:col>18</xdr:col>
      <xdr:colOff>0</xdr:colOff>
      <xdr:row>38</xdr:row>
      <xdr:rowOff>0</xdr:rowOff>
    </xdr:to>
    <xdr:sp macro="[0]!Plus21" textlink="">
      <xdr:nvSpPr>
        <xdr:cNvPr id="47" name="Rectangle 46">
          <a:extLst>
            <a:ext uri="{FF2B5EF4-FFF2-40B4-BE49-F238E27FC236}">
              <a16:creationId xmlns:a16="http://schemas.microsoft.com/office/drawing/2014/main" id="{E737DA89-0ADB-4341-AC77-46A0141B104C}"/>
            </a:ext>
          </a:extLst>
        </xdr:cNvPr>
        <xdr:cNvSpPr/>
      </xdr:nvSpPr>
      <xdr:spPr>
        <a:xfrm>
          <a:off x="9753600" y="676656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37</xdr:row>
      <xdr:rowOff>0</xdr:rowOff>
    </xdr:from>
    <xdr:to>
      <xdr:col>17</xdr:col>
      <xdr:colOff>0</xdr:colOff>
      <xdr:row>38</xdr:row>
      <xdr:rowOff>0</xdr:rowOff>
    </xdr:to>
    <xdr:sp macro="[0]!Minus21" textlink="">
      <xdr:nvSpPr>
        <xdr:cNvPr id="48" name="Rectangle 47">
          <a:extLst>
            <a:ext uri="{FF2B5EF4-FFF2-40B4-BE49-F238E27FC236}">
              <a16:creationId xmlns:a16="http://schemas.microsoft.com/office/drawing/2014/main" id="{B176FAF0-2F4F-4AB0-8174-B3B70A146D5F}"/>
            </a:ext>
          </a:extLst>
        </xdr:cNvPr>
        <xdr:cNvSpPr/>
      </xdr:nvSpPr>
      <xdr:spPr>
        <a:xfrm>
          <a:off x="9144000" y="676656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38</xdr:row>
      <xdr:rowOff>0</xdr:rowOff>
    </xdr:from>
    <xdr:to>
      <xdr:col>18</xdr:col>
      <xdr:colOff>0</xdr:colOff>
      <xdr:row>39</xdr:row>
      <xdr:rowOff>0</xdr:rowOff>
    </xdr:to>
    <xdr:sp macro="[0]!Plus22" textlink="">
      <xdr:nvSpPr>
        <xdr:cNvPr id="49" name="Rectangle 48">
          <a:extLst>
            <a:ext uri="{FF2B5EF4-FFF2-40B4-BE49-F238E27FC236}">
              <a16:creationId xmlns:a16="http://schemas.microsoft.com/office/drawing/2014/main" id="{B43713F5-D36D-414B-958C-DBB3769CB293}"/>
            </a:ext>
          </a:extLst>
        </xdr:cNvPr>
        <xdr:cNvSpPr/>
      </xdr:nvSpPr>
      <xdr:spPr>
        <a:xfrm>
          <a:off x="9753600" y="694944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38</xdr:row>
      <xdr:rowOff>0</xdr:rowOff>
    </xdr:from>
    <xdr:to>
      <xdr:col>17</xdr:col>
      <xdr:colOff>0</xdr:colOff>
      <xdr:row>39</xdr:row>
      <xdr:rowOff>0</xdr:rowOff>
    </xdr:to>
    <xdr:sp macro="[0]!Minus22" textlink="">
      <xdr:nvSpPr>
        <xdr:cNvPr id="50" name="Rectangle 49">
          <a:extLst>
            <a:ext uri="{FF2B5EF4-FFF2-40B4-BE49-F238E27FC236}">
              <a16:creationId xmlns:a16="http://schemas.microsoft.com/office/drawing/2014/main" id="{26D4218A-B8CC-4905-B2CD-1C222FC9BB44}"/>
            </a:ext>
          </a:extLst>
        </xdr:cNvPr>
        <xdr:cNvSpPr/>
      </xdr:nvSpPr>
      <xdr:spPr>
        <a:xfrm>
          <a:off x="9144000" y="694944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39</xdr:row>
      <xdr:rowOff>0</xdr:rowOff>
    </xdr:from>
    <xdr:to>
      <xdr:col>18</xdr:col>
      <xdr:colOff>0</xdr:colOff>
      <xdr:row>40</xdr:row>
      <xdr:rowOff>0</xdr:rowOff>
    </xdr:to>
    <xdr:sp macro="[0]!Plus23" textlink="">
      <xdr:nvSpPr>
        <xdr:cNvPr id="51" name="Rectangle 50">
          <a:extLst>
            <a:ext uri="{FF2B5EF4-FFF2-40B4-BE49-F238E27FC236}">
              <a16:creationId xmlns:a16="http://schemas.microsoft.com/office/drawing/2014/main" id="{D3643A7B-28D6-4095-96BA-18B983191D47}"/>
            </a:ext>
          </a:extLst>
        </xdr:cNvPr>
        <xdr:cNvSpPr/>
      </xdr:nvSpPr>
      <xdr:spPr>
        <a:xfrm>
          <a:off x="9753600" y="713232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39</xdr:row>
      <xdr:rowOff>0</xdr:rowOff>
    </xdr:from>
    <xdr:to>
      <xdr:col>17</xdr:col>
      <xdr:colOff>0</xdr:colOff>
      <xdr:row>40</xdr:row>
      <xdr:rowOff>0</xdr:rowOff>
    </xdr:to>
    <xdr:sp macro="[0]!Minus23" textlink="">
      <xdr:nvSpPr>
        <xdr:cNvPr id="52" name="Rectangle 51">
          <a:extLst>
            <a:ext uri="{FF2B5EF4-FFF2-40B4-BE49-F238E27FC236}">
              <a16:creationId xmlns:a16="http://schemas.microsoft.com/office/drawing/2014/main" id="{6D0721ED-22B5-4EA0-88F3-2D795A677635}"/>
            </a:ext>
          </a:extLst>
        </xdr:cNvPr>
        <xdr:cNvSpPr/>
      </xdr:nvSpPr>
      <xdr:spPr>
        <a:xfrm>
          <a:off x="9144000" y="713232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40</xdr:row>
      <xdr:rowOff>0</xdr:rowOff>
    </xdr:from>
    <xdr:to>
      <xdr:col>18</xdr:col>
      <xdr:colOff>0</xdr:colOff>
      <xdr:row>41</xdr:row>
      <xdr:rowOff>0</xdr:rowOff>
    </xdr:to>
    <xdr:sp macro="[0]!Plus24" textlink="">
      <xdr:nvSpPr>
        <xdr:cNvPr id="53" name="Rectangle 52">
          <a:extLst>
            <a:ext uri="{FF2B5EF4-FFF2-40B4-BE49-F238E27FC236}">
              <a16:creationId xmlns:a16="http://schemas.microsoft.com/office/drawing/2014/main" id="{C54632A6-DC76-4B24-866C-3DD9BF8D29EA}"/>
            </a:ext>
          </a:extLst>
        </xdr:cNvPr>
        <xdr:cNvSpPr/>
      </xdr:nvSpPr>
      <xdr:spPr>
        <a:xfrm>
          <a:off x="9753600" y="731520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40</xdr:row>
      <xdr:rowOff>0</xdr:rowOff>
    </xdr:from>
    <xdr:to>
      <xdr:col>17</xdr:col>
      <xdr:colOff>0</xdr:colOff>
      <xdr:row>41</xdr:row>
      <xdr:rowOff>0</xdr:rowOff>
    </xdr:to>
    <xdr:sp macro="[0]!Minus24" textlink="">
      <xdr:nvSpPr>
        <xdr:cNvPr id="54" name="Rectangle 53">
          <a:extLst>
            <a:ext uri="{FF2B5EF4-FFF2-40B4-BE49-F238E27FC236}">
              <a16:creationId xmlns:a16="http://schemas.microsoft.com/office/drawing/2014/main" id="{2D1688F0-A26C-4AAF-9B06-D2DBEA07331E}"/>
            </a:ext>
          </a:extLst>
        </xdr:cNvPr>
        <xdr:cNvSpPr/>
      </xdr:nvSpPr>
      <xdr:spPr>
        <a:xfrm>
          <a:off x="9144000" y="731520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17</xdr:col>
      <xdr:colOff>0</xdr:colOff>
      <xdr:row>41</xdr:row>
      <xdr:rowOff>0</xdr:rowOff>
    </xdr:from>
    <xdr:to>
      <xdr:col>18</xdr:col>
      <xdr:colOff>0</xdr:colOff>
      <xdr:row>42</xdr:row>
      <xdr:rowOff>0</xdr:rowOff>
    </xdr:to>
    <xdr:sp macro="[0]!Plus25" textlink="">
      <xdr:nvSpPr>
        <xdr:cNvPr id="55" name="Rectangle 54">
          <a:extLst>
            <a:ext uri="{FF2B5EF4-FFF2-40B4-BE49-F238E27FC236}">
              <a16:creationId xmlns:a16="http://schemas.microsoft.com/office/drawing/2014/main" id="{922D27C4-F02A-46AF-ABD1-49DD62DC8978}"/>
            </a:ext>
          </a:extLst>
        </xdr:cNvPr>
        <xdr:cNvSpPr/>
      </xdr:nvSpPr>
      <xdr:spPr>
        <a:xfrm>
          <a:off x="9753600" y="7498080"/>
          <a:ext cx="609600" cy="182880"/>
        </a:xfrm>
        <a:prstGeom prst="rect">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16</xdr:col>
      <xdr:colOff>0</xdr:colOff>
      <xdr:row>41</xdr:row>
      <xdr:rowOff>0</xdr:rowOff>
    </xdr:from>
    <xdr:to>
      <xdr:col>17</xdr:col>
      <xdr:colOff>0</xdr:colOff>
      <xdr:row>42</xdr:row>
      <xdr:rowOff>0</xdr:rowOff>
    </xdr:to>
    <xdr:sp macro="[0]!Minus25" textlink="">
      <xdr:nvSpPr>
        <xdr:cNvPr id="56" name="Rectangle 55">
          <a:extLst>
            <a:ext uri="{FF2B5EF4-FFF2-40B4-BE49-F238E27FC236}">
              <a16:creationId xmlns:a16="http://schemas.microsoft.com/office/drawing/2014/main" id="{FE2ACEC6-5D8F-4360-B404-E3A54AAF8C25}"/>
            </a:ext>
          </a:extLst>
        </xdr:cNvPr>
        <xdr:cNvSpPr/>
      </xdr:nvSpPr>
      <xdr:spPr>
        <a:xfrm>
          <a:off x="9144000" y="7498080"/>
          <a:ext cx="609600" cy="1828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2</xdr:col>
      <xdr:colOff>89535</xdr:colOff>
      <xdr:row>3</xdr:row>
      <xdr:rowOff>76201</xdr:rowOff>
    </xdr:to>
    <mc:AlternateContent xmlns:mc="http://schemas.openxmlformats.org/markup-compatibility/2006">
      <mc:Choice xmlns:sle15="http://schemas.microsoft.com/office/drawing/2012/slicer" Requires="sle15">
        <xdr:graphicFrame macro="">
          <xdr:nvGraphicFramePr>
            <xdr:cNvPr id="2" name="Db_Name">
              <a:extLst>
                <a:ext uri="{FF2B5EF4-FFF2-40B4-BE49-F238E27FC236}">
                  <a16:creationId xmlns:a16="http://schemas.microsoft.com/office/drawing/2014/main" id="{7BC9DF0F-64FA-4C90-A788-04DF17BF41FA}"/>
                </a:ext>
              </a:extLst>
            </xdr:cNvPr>
            <xdr:cNvGraphicFramePr/>
          </xdr:nvGraphicFramePr>
          <xdr:xfrm>
            <a:off x="0" y="0"/>
            <a:ext cx="0" cy="0"/>
          </xdr:xfrm>
          <a:graphic>
            <a:graphicData uri="http://schemas.microsoft.com/office/drawing/2010/slicer">
              <sle:slicer xmlns:sle="http://schemas.microsoft.com/office/drawing/2010/slicer" name="Db_Name"/>
            </a:graphicData>
          </a:graphic>
        </xdr:graphicFrame>
      </mc:Choice>
      <mc:Fallback>
        <xdr:sp macro="" textlink="">
          <xdr:nvSpPr>
            <xdr:cNvPr id="0" name=""/>
            <xdr:cNvSpPr>
              <a:spLocks noTextEdit="1"/>
            </xdr:cNvSpPr>
          </xdr:nvSpPr>
          <xdr:spPr>
            <a:xfrm>
              <a:off x="0" y="1"/>
              <a:ext cx="1590675" cy="624840"/>
            </a:xfrm>
            <a:prstGeom prst="rect">
              <a:avLst/>
            </a:prstGeom>
            <a:solidFill>
              <a:prstClr val="white"/>
            </a:solidFill>
            <a:ln w="1">
              <a:solidFill>
                <a:prstClr val="green"/>
              </a:solidFill>
            </a:ln>
          </xdr:spPr>
          <xdr:txBody>
            <a:bodyPr vertOverflow="clip" horzOverflow="clip"/>
            <a:lstStyle/>
            <a:p>
              <a:r>
                <a:rPr lang="en-SG"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89535</xdr:colOff>
      <xdr:row>0</xdr:row>
      <xdr:rowOff>1</xdr:rowOff>
    </xdr:from>
    <xdr:to>
      <xdr:col>3</xdr:col>
      <xdr:colOff>748665</xdr:colOff>
      <xdr:row>3</xdr:row>
      <xdr:rowOff>57151</xdr:rowOff>
    </xdr:to>
    <mc:AlternateContent xmlns:mc="http://schemas.openxmlformats.org/markup-compatibility/2006">
      <mc:Choice xmlns:sle15="http://schemas.microsoft.com/office/drawing/2012/slicer" Requires="sle15">
        <xdr:graphicFrame macro="">
          <xdr:nvGraphicFramePr>
            <xdr:cNvPr id="3" name="Symbol">
              <a:extLst>
                <a:ext uri="{FF2B5EF4-FFF2-40B4-BE49-F238E27FC236}">
                  <a16:creationId xmlns:a16="http://schemas.microsoft.com/office/drawing/2014/main" id="{80A05BD1-D5A3-45D0-8414-FED0FBAD1B1F}"/>
                </a:ext>
              </a:extLst>
            </xdr:cNvPr>
            <xdr:cNvGraphicFramePr/>
          </xdr:nvGraphicFramePr>
          <xdr:xfrm>
            <a:off x="0" y="0"/>
            <a:ext cx="0" cy="0"/>
          </xdr:xfrm>
          <a:graphic>
            <a:graphicData uri="http://schemas.microsoft.com/office/drawing/2010/slicer">
              <sle:slicer xmlns:sle="http://schemas.microsoft.com/office/drawing/2010/slicer" name="Symbol"/>
            </a:graphicData>
          </a:graphic>
        </xdr:graphicFrame>
      </mc:Choice>
      <mc:Fallback>
        <xdr:sp macro="" textlink="">
          <xdr:nvSpPr>
            <xdr:cNvPr id="0" name=""/>
            <xdr:cNvSpPr>
              <a:spLocks noTextEdit="1"/>
            </xdr:cNvSpPr>
          </xdr:nvSpPr>
          <xdr:spPr>
            <a:xfrm>
              <a:off x="1590675" y="1"/>
              <a:ext cx="1352550" cy="605790"/>
            </a:xfrm>
            <a:prstGeom prst="rect">
              <a:avLst/>
            </a:prstGeom>
            <a:solidFill>
              <a:prstClr val="white"/>
            </a:solidFill>
            <a:ln w="1">
              <a:solidFill>
                <a:prstClr val="green"/>
              </a:solidFill>
            </a:ln>
          </xdr:spPr>
          <xdr:txBody>
            <a:bodyPr vertOverflow="clip" horzOverflow="clip"/>
            <a:lstStyle/>
            <a:p>
              <a:r>
                <a:rPr lang="en-SG"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M_V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Monitor"/>
      <sheetName val="Price"/>
      <sheetName val="Sheet2"/>
    </sheetNames>
    <definedNames>
      <definedName name="insertSQL"/>
      <definedName name="Start"/>
    </definedNames>
    <sheetDataSet>
      <sheetData sheetId="0"/>
      <sheetData sheetId="1" refreshError="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MT4" ddeTopic="BID">
    <ddeItems>
      <ddeItem name="AMERICA.ms" advise="1">
        <values>
          <value>
            <val>0.67242999999999997</val>
          </value>
        </values>
      </ddeItem>
      <ddeItem name="ASIA.ms" advise="1">
        <values>
          <value>
            <val>98.664000000000001</val>
          </value>
        </values>
      </ddeItem>
      <ddeItem name="AUD.ms" advise="1">
        <values>
          <value>
            <val>0.88046999999999997</val>
          </value>
        </values>
      </ddeItem>
      <ddeItem name="AUDJPY.ms" advise="1">
        <values>
          <value>
            <val>72.382000000000005</val>
          </value>
        </values>
      </ddeItem>
      <ddeItem name="AUDUSD.ms" advise="1">
        <values>
          <value>
            <val>0.67710000000000004</val>
          </value>
        </values>
      </ddeItem>
      <ddeItem name="CAD.ms" advise="1">
        <values>
          <value>
            <val>0.70323999999999998</val>
          </value>
        </values>
      </ddeItem>
      <ddeItem name="CHF.ms" advise="1">
        <values>
          <value>
            <val>1.02152</val>
          </value>
        </values>
      </ddeItem>
      <ddeItem name="COMMOD.ms" advise="1">
        <values>
          <value>
            <val>14.615539999999999</val>
          </value>
        </values>
      </ddeItem>
      <ddeItem name="EUR.ms" advise="1">
        <values>
          <value>
            <val>1.03108</val>
          </value>
        </values>
      </ddeItem>
      <ddeItem name="EURGBP.ms" advise="1">
        <values>
          <value>
            <val>0.88995999999999997</val>
          </value>
        </values>
      </ddeItem>
      <ddeItem name="EURJPY.ms" advise="1">
        <values>
          <value>
            <val>117.38500000000001</val>
          </value>
        </values>
      </ddeItem>
      <ddeItem name="EUROPE.ms" advise="1">
        <values>
          <value>
            <val>1.5110699999999999</val>
          </value>
        </values>
      </ddeItem>
      <ddeItem name="EURUSD.ms" advise="1">
        <values>
          <value>
            <val>1.0978699999999999</val>
          </value>
        </values>
      </ddeItem>
      <ddeItem name="EXOTICS.ms" advise="1">
        <values>
          <value>
            <val>5.2187799999999998</val>
          </value>
        </values>
      </ddeItem>
      <ddeItem name="GBP.ms" advise="1">
        <values>
          <value>
            <val>1.1746700000000001</val>
          </value>
        </values>
      </ddeItem>
      <ddeItem name="GBPJPY.ms" advise="1">
        <values>
          <value>
            <val>131.899</val>
          </value>
        </values>
      </ddeItem>
      <ddeItem name="GBPUSD.ms" advise="1">
        <values>
          <value>
            <val>1.2340100000000001</val>
          </value>
        </values>
      </ddeItem>
      <ddeItem name="JPY.ms" advise="1">
        <values>
          <value>
            <val>96.495000000000005</val>
          </value>
        </values>
      </ddeItem>
      <ddeItem name="METALS.ms" advise="1">
        <values>
          <value>
            <val>59.544130000000003</val>
          </value>
        </values>
      </ddeItem>
      <ddeItem name="NZDJPY.ms" advise="1">
        <values>
          <value>
            <val>67.528999999999996</val>
          </value>
        </values>
      </ddeItem>
      <ddeItem name="NZDUSD.ms" advise="1">
        <values>
          <value>
            <val>0.63170000000000004</val>
          </value>
        </values>
      </ddeItem>
      <ddeItem name="StdDocumentName" ole="1" advise="1"/>
      <ddeItem name="USD.ms" advise="1">
        <values>
          <value>
            <val>0.82789999999999997</val>
          </value>
        </values>
      </ddeItem>
      <ddeItem name="USDCAD.ms" advise="1">
        <values>
          <value>
            <val>1.3310200000000001</val>
          </value>
        </values>
      </ddeItem>
      <ddeItem name="USDCHF.ms" advise="1">
        <values>
          <value>
            <val>0.99558000000000002</val>
          </value>
        </values>
      </ddeItem>
      <ddeItem name="USDJPY.ms" advise="1">
        <values>
          <value>
            <val>106.92400000000001</val>
          </value>
        </values>
      </ddeItem>
    </ddeItems>
  </ddeLin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xck" refreshedDate="43743.209238078707" createdVersion="5" refreshedVersion="6" minRefreshableVersion="3" recordCount="50" xr:uid="{D26C7132-C7A7-4B3D-A08C-84E9FDC0E220}">
  <cacheSource type="external" connectionId="3"/>
  <cacheFields count="11">
    <cacheField name="Db_Name" numFmtId="0">
      <sharedItems count="1">
        <s v="osim"/>
      </sharedItems>
    </cacheField>
    <cacheField name="Sym" numFmtId="0">
      <sharedItems count="76">
        <s v="AMERICA.ms"/>
        <s v="ASIA.ms"/>
        <s v="AUD.ms"/>
        <s v="AUDJPY.ms"/>
        <s v="AUDUSD.ms"/>
        <s v="CAD.ms"/>
        <s v="CHF.ms"/>
        <s v="COMMOD.ms"/>
        <s v="EUR.ms"/>
        <s v="EURGBP.ms"/>
        <s v="EURJPY.ms"/>
        <s v="EUROPE.ms"/>
        <s v="EURUSD.ms"/>
        <s v="EXOTICS.ms"/>
        <s v="GBP.ms"/>
        <s v="GBPJPY.ms"/>
        <s v="GBPUSD.ms"/>
        <s v="JPY.ms"/>
        <s v="METALS.ms"/>
        <s v="NZDJPY.ms"/>
        <s v="NZDUSD.ms"/>
        <s v="USD.ms"/>
        <s v="USDCAD.ms"/>
        <s v="USDCHF.ms"/>
        <s v="USDJPY.ms"/>
        <s v="AUDbo" u="1"/>
        <s v="EURGBP" u="1"/>
        <s v="AUDJPYbo" u="1"/>
        <s v="EURbo" u="1"/>
        <s v="EURJPYbo" u="1"/>
        <s v="NZDJPYbo" u="1"/>
        <s v="USD" u="1"/>
        <s v="CHFbo" u="1"/>
        <s v="CAD" u="1"/>
        <s v="XAUUSD" u="1"/>
        <s v="EURGBPbo" u="1"/>
        <s v="USDJPY" u="1"/>
        <s v="EXOTICS" u="1"/>
        <s v="METALS" u="1"/>
        <s v="AMERICAbo" u="1"/>
        <s v="PMIbo" u="1"/>
        <s v="GBPUSD" u="1"/>
        <s v="USDCHF" u="1"/>
        <s v="USDbo" u="1"/>
        <s v="USDJPYbo" u="1"/>
        <s v="ASIA" u="1"/>
        <s v="CADbo" u="1"/>
        <s v="METALSbo" u="1"/>
        <s v="EURUSD" u="1"/>
        <s v="EEIbo" u="1"/>
        <s v="NZDUSD" u="1"/>
        <s v="JPY" u="1"/>
        <s v="GBPUSDbo" u="1"/>
        <s v="USDCADbo" u="1"/>
        <s v="USDCHFbo" u="1"/>
        <s v="ASIAbo" u="1"/>
        <s v="AUDUSDbo" u="1"/>
        <s v="DECIbo" u="1"/>
        <s v="EUROPE" u="1"/>
        <s v="EURUSDbo" u="1"/>
        <s v="NZDUSDbo" u="1"/>
        <s v="GBP" u="1"/>
        <s v="AUD" u="1"/>
        <s v="AMERICA" u="1"/>
        <s v="EUROPEbo" u="1"/>
        <s v="COMMOD" u="1"/>
        <s v="JPYbo" u="1"/>
        <s v="EXOTICSbo" u="1"/>
        <s v="EUR" u="1"/>
        <s v="AEIbo" u="1"/>
        <s v="CHF" u="1"/>
        <s v="GBPCAD" u="1"/>
        <s v="NZDJPY" u="1"/>
        <s v="COMMODbo" u="1"/>
        <s v="GBPbo" u="1"/>
        <s v="GBPJPYbo" u="1"/>
      </sharedItems>
    </cacheField>
    <cacheField name="vol" numFmtId="0">
      <sharedItems containsSemiMixedTypes="0" containsString="0" containsNumber="1" containsInteger="1" minValue="0" maxValue="0" count="1">
        <n v="0"/>
      </sharedItems>
    </cacheField>
    <cacheField name="OPEN_PRICE" numFmtId="0">
      <sharedItems containsString="0" containsBlank="1" count="1">
        <m/>
      </sharedItems>
    </cacheField>
    <cacheField name="LOGIN" numFmtId="0">
      <sharedItems containsSemiMixedTypes="0" containsString="0" containsNumber="1" containsInteger="1" minValue="0" maxValue="0" count="1">
        <n v="0"/>
      </sharedItems>
    </cacheField>
    <cacheField name="Seconds" numFmtId="0">
      <sharedItems containsSemiMixedTypes="0" containsString="0" containsNumber="1" containsInteger="1" minValue="0" maxValue="0" count="1">
        <n v="0"/>
      </sharedItems>
    </cacheField>
    <cacheField name="Orders" numFmtId="0">
      <sharedItems containsSemiMixedTypes="0" containsString="0" containsNumber="1" containsInteger="1" minValue="0" maxValue="0" count="1">
        <n v="0"/>
      </sharedItems>
    </cacheField>
    <cacheField name="cmd" numFmtId="0">
      <sharedItems containsSemiMixedTypes="0" containsString="0" containsNumber="1" containsInteger="1" minValue="0" maxValue="5" count="6">
        <n v="0"/>
        <n v="1"/>
        <n v="5" u="1"/>
        <n v="2" u="1"/>
        <n v="3" u="1"/>
        <n v="4" u="1"/>
      </sharedItems>
    </cacheField>
    <cacheField name="GROUP" numFmtId="0">
      <sharedItems count="4">
        <s v="0"/>
        <s v="MSVECN3" u="1"/>
        <s v="MSVECN5" u="1"/>
        <s v="MSVECN6" u="1"/>
      </sharedItems>
    </cacheField>
    <cacheField name="Avg Val" numFmtId="0" formula="IF(vol&gt;0,vol/Orders)" databaseField="0"/>
    <cacheField name="Avg Price" numFmtId="0" formula="IF(OPEN_PRICE&gt;0,OPEN_PRICE/Orders)" databaseField="0"/>
  </cacheFields>
  <extLst>
    <ext xmlns:x14="http://schemas.microsoft.com/office/spreadsheetml/2009/9/main" uri="{725AE2AE-9491-48be-B2B4-4EB974FC3084}">
      <x14:pivotCacheDefinition pivotCacheId="17119813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x v="0"/>
    <x v="0"/>
    <x v="0"/>
    <x v="0"/>
    <x v="0"/>
    <x v="0"/>
  </r>
  <r>
    <x v="0"/>
    <x v="0"/>
    <x v="0"/>
    <x v="0"/>
    <x v="0"/>
    <x v="0"/>
    <x v="0"/>
    <x v="1"/>
    <x v="0"/>
  </r>
  <r>
    <x v="0"/>
    <x v="1"/>
    <x v="0"/>
    <x v="0"/>
    <x v="0"/>
    <x v="0"/>
    <x v="0"/>
    <x v="0"/>
    <x v="0"/>
  </r>
  <r>
    <x v="0"/>
    <x v="1"/>
    <x v="0"/>
    <x v="0"/>
    <x v="0"/>
    <x v="0"/>
    <x v="0"/>
    <x v="1"/>
    <x v="0"/>
  </r>
  <r>
    <x v="0"/>
    <x v="2"/>
    <x v="0"/>
    <x v="0"/>
    <x v="0"/>
    <x v="0"/>
    <x v="0"/>
    <x v="0"/>
    <x v="0"/>
  </r>
  <r>
    <x v="0"/>
    <x v="2"/>
    <x v="0"/>
    <x v="0"/>
    <x v="0"/>
    <x v="0"/>
    <x v="0"/>
    <x v="1"/>
    <x v="0"/>
  </r>
  <r>
    <x v="0"/>
    <x v="3"/>
    <x v="0"/>
    <x v="0"/>
    <x v="0"/>
    <x v="0"/>
    <x v="0"/>
    <x v="0"/>
    <x v="0"/>
  </r>
  <r>
    <x v="0"/>
    <x v="3"/>
    <x v="0"/>
    <x v="0"/>
    <x v="0"/>
    <x v="0"/>
    <x v="0"/>
    <x v="1"/>
    <x v="0"/>
  </r>
  <r>
    <x v="0"/>
    <x v="4"/>
    <x v="0"/>
    <x v="0"/>
    <x v="0"/>
    <x v="0"/>
    <x v="0"/>
    <x v="0"/>
    <x v="0"/>
  </r>
  <r>
    <x v="0"/>
    <x v="4"/>
    <x v="0"/>
    <x v="0"/>
    <x v="0"/>
    <x v="0"/>
    <x v="0"/>
    <x v="1"/>
    <x v="0"/>
  </r>
  <r>
    <x v="0"/>
    <x v="5"/>
    <x v="0"/>
    <x v="0"/>
    <x v="0"/>
    <x v="0"/>
    <x v="0"/>
    <x v="0"/>
    <x v="0"/>
  </r>
  <r>
    <x v="0"/>
    <x v="5"/>
    <x v="0"/>
    <x v="0"/>
    <x v="0"/>
    <x v="0"/>
    <x v="0"/>
    <x v="1"/>
    <x v="0"/>
  </r>
  <r>
    <x v="0"/>
    <x v="6"/>
    <x v="0"/>
    <x v="0"/>
    <x v="0"/>
    <x v="0"/>
    <x v="0"/>
    <x v="0"/>
    <x v="0"/>
  </r>
  <r>
    <x v="0"/>
    <x v="6"/>
    <x v="0"/>
    <x v="0"/>
    <x v="0"/>
    <x v="0"/>
    <x v="0"/>
    <x v="1"/>
    <x v="0"/>
  </r>
  <r>
    <x v="0"/>
    <x v="7"/>
    <x v="0"/>
    <x v="0"/>
    <x v="0"/>
    <x v="0"/>
    <x v="0"/>
    <x v="0"/>
    <x v="0"/>
  </r>
  <r>
    <x v="0"/>
    <x v="7"/>
    <x v="0"/>
    <x v="0"/>
    <x v="0"/>
    <x v="0"/>
    <x v="0"/>
    <x v="1"/>
    <x v="0"/>
  </r>
  <r>
    <x v="0"/>
    <x v="8"/>
    <x v="0"/>
    <x v="0"/>
    <x v="0"/>
    <x v="0"/>
    <x v="0"/>
    <x v="0"/>
    <x v="0"/>
  </r>
  <r>
    <x v="0"/>
    <x v="8"/>
    <x v="0"/>
    <x v="0"/>
    <x v="0"/>
    <x v="0"/>
    <x v="0"/>
    <x v="1"/>
    <x v="0"/>
  </r>
  <r>
    <x v="0"/>
    <x v="9"/>
    <x v="0"/>
    <x v="0"/>
    <x v="0"/>
    <x v="0"/>
    <x v="0"/>
    <x v="0"/>
    <x v="0"/>
  </r>
  <r>
    <x v="0"/>
    <x v="9"/>
    <x v="0"/>
    <x v="0"/>
    <x v="0"/>
    <x v="0"/>
    <x v="0"/>
    <x v="1"/>
    <x v="0"/>
  </r>
  <r>
    <x v="0"/>
    <x v="10"/>
    <x v="0"/>
    <x v="0"/>
    <x v="0"/>
    <x v="0"/>
    <x v="0"/>
    <x v="0"/>
    <x v="0"/>
  </r>
  <r>
    <x v="0"/>
    <x v="10"/>
    <x v="0"/>
    <x v="0"/>
    <x v="0"/>
    <x v="0"/>
    <x v="0"/>
    <x v="1"/>
    <x v="0"/>
  </r>
  <r>
    <x v="0"/>
    <x v="11"/>
    <x v="0"/>
    <x v="0"/>
    <x v="0"/>
    <x v="0"/>
    <x v="0"/>
    <x v="0"/>
    <x v="0"/>
  </r>
  <r>
    <x v="0"/>
    <x v="11"/>
    <x v="0"/>
    <x v="0"/>
    <x v="0"/>
    <x v="0"/>
    <x v="0"/>
    <x v="1"/>
    <x v="0"/>
  </r>
  <r>
    <x v="0"/>
    <x v="12"/>
    <x v="0"/>
    <x v="0"/>
    <x v="0"/>
    <x v="0"/>
    <x v="0"/>
    <x v="0"/>
    <x v="0"/>
  </r>
  <r>
    <x v="0"/>
    <x v="12"/>
    <x v="0"/>
    <x v="0"/>
    <x v="0"/>
    <x v="0"/>
    <x v="0"/>
    <x v="1"/>
    <x v="0"/>
  </r>
  <r>
    <x v="0"/>
    <x v="13"/>
    <x v="0"/>
    <x v="0"/>
    <x v="0"/>
    <x v="0"/>
    <x v="0"/>
    <x v="0"/>
    <x v="0"/>
  </r>
  <r>
    <x v="0"/>
    <x v="13"/>
    <x v="0"/>
    <x v="0"/>
    <x v="0"/>
    <x v="0"/>
    <x v="0"/>
    <x v="1"/>
    <x v="0"/>
  </r>
  <r>
    <x v="0"/>
    <x v="14"/>
    <x v="0"/>
    <x v="0"/>
    <x v="0"/>
    <x v="0"/>
    <x v="0"/>
    <x v="0"/>
    <x v="0"/>
  </r>
  <r>
    <x v="0"/>
    <x v="14"/>
    <x v="0"/>
    <x v="0"/>
    <x v="0"/>
    <x v="0"/>
    <x v="0"/>
    <x v="1"/>
    <x v="0"/>
  </r>
  <r>
    <x v="0"/>
    <x v="15"/>
    <x v="0"/>
    <x v="0"/>
    <x v="0"/>
    <x v="0"/>
    <x v="0"/>
    <x v="0"/>
    <x v="0"/>
  </r>
  <r>
    <x v="0"/>
    <x v="15"/>
    <x v="0"/>
    <x v="0"/>
    <x v="0"/>
    <x v="0"/>
    <x v="0"/>
    <x v="1"/>
    <x v="0"/>
  </r>
  <r>
    <x v="0"/>
    <x v="16"/>
    <x v="0"/>
    <x v="0"/>
    <x v="0"/>
    <x v="0"/>
    <x v="0"/>
    <x v="0"/>
    <x v="0"/>
  </r>
  <r>
    <x v="0"/>
    <x v="16"/>
    <x v="0"/>
    <x v="0"/>
    <x v="0"/>
    <x v="0"/>
    <x v="0"/>
    <x v="1"/>
    <x v="0"/>
  </r>
  <r>
    <x v="0"/>
    <x v="17"/>
    <x v="0"/>
    <x v="0"/>
    <x v="0"/>
    <x v="0"/>
    <x v="0"/>
    <x v="0"/>
    <x v="0"/>
  </r>
  <r>
    <x v="0"/>
    <x v="17"/>
    <x v="0"/>
    <x v="0"/>
    <x v="0"/>
    <x v="0"/>
    <x v="0"/>
    <x v="1"/>
    <x v="0"/>
  </r>
  <r>
    <x v="0"/>
    <x v="18"/>
    <x v="0"/>
    <x v="0"/>
    <x v="0"/>
    <x v="0"/>
    <x v="0"/>
    <x v="0"/>
    <x v="0"/>
  </r>
  <r>
    <x v="0"/>
    <x v="18"/>
    <x v="0"/>
    <x v="0"/>
    <x v="0"/>
    <x v="0"/>
    <x v="0"/>
    <x v="1"/>
    <x v="0"/>
  </r>
  <r>
    <x v="0"/>
    <x v="19"/>
    <x v="0"/>
    <x v="0"/>
    <x v="0"/>
    <x v="0"/>
    <x v="0"/>
    <x v="0"/>
    <x v="0"/>
  </r>
  <r>
    <x v="0"/>
    <x v="19"/>
    <x v="0"/>
    <x v="0"/>
    <x v="0"/>
    <x v="0"/>
    <x v="0"/>
    <x v="1"/>
    <x v="0"/>
  </r>
  <r>
    <x v="0"/>
    <x v="20"/>
    <x v="0"/>
    <x v="0"/>
    <x v="0"/>
    <x v="0"/>
    <x v="0"/>
    <x v="0"/>
    <x v="0"/>
  </r>
  <r>
    <x v="0"/>
    <x v="20"/>
    <x v="0"/>
    <x v="0"/>
    <x v="0"/>
    <x v="0"/>
    <x v="0"/>
    <x v="1"/>
    <x v="0"/>
  </r>
  <r>
    <x v="0"/>
    <x v="21"/>
    <x v="0"/>
    <x v="0"/>
    <x v="0"/>
    <x v="0"/>
    <x v="0"/>
    <x v="0"/>
    <x v="0"/>
  </r>
  <r>
    <x v="0"/>
    <x v="21"/>
    <x v="0"/>
    <x v="0"/>
    <x v="0"/>
    <x v="0"/>
    <x v="0"/>
    <x v="1"/>
    <x v="0"/>
  </r>
  <r>
    <x v="0"/>
    <x v="22"/>
    <x v="0"/>
    <x v="0"/>
    <x v="0"/>
    <x v="0"/>
    <x v="0"/>
    <x v="0"/>
    <x v="0"/>
  </r>
  <r>
    <x v="0"/>
    <x v="22"/>
    <x v="0"/>
    <x v="0"/>
    <x v="0"/>
    <x v="0"/>
    <x v="0"/>
    <x v="1"/>
    <x v="0"/>
  </r>
  <r>
    <x v="0"/>
    <x v="23"/>
    <x v="0"/>
    <x v="0"/>
    <x v="0"/>
    <x v="0"/>
    <x v="0"/>
    <x v="0"/>
    <x v="0"/>
  </r>
  <r>
    <x v="0"/>
    <x v="23"/>
    <x v="0"/>
    <x v="0"/>
    <x v="0"/>
    <x v="0"/>
    <x v="0"/>
    <x v="1"/>
    <x v="0"/>
  </r>
  <r>
    <x v="0"/>
    <x v="24"/>
    <x v="0"/>
    <x v="0"/>
    <x v="0"/>
    <x v="0"/>
    <x v="0"/>
    <x v="0"/>
    <x v="0"/>
  </r>
  <r>
    <x v="0"/>
    <x v="24"/>
    <x v="0"/>
    <x v="0"/>
    <x v="0"/>
    <x v="0"/>
    <x v="0"/>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A0D68B-869B-4BCE-BF8C-D1FAB76FB9DF}" name="PivotTable2" cacheId="0" applyNumberFormats="0" applyBorderFormats="0" applyFontFormats="0" applyPatternFormats="0" applyAlignmentFormats="0" applyWidthHeightFormats="1" dataCaption="Values" missingCaption="0" updatedVersion="6" minRefreshableVersion="3" useAutoFormatting="1" pageOverThenDown="1" rowGrandTotals="0" colGrandTotals="0" itemPrintTitles="1" createdVersion="5" indent="0" outline="1" outlineData="1" multipleFieldFilters="0" rowHeaderCaption="Symbol" fieldListSortAscending="1">
  <location ref="A16:D42" firstHeaderRow="1" firstDataRow="2" firstDataCol="1" rowPageCount="1" colPageCount="1"/>
  <pivotFields count="11">
    <pivotField numFmtId="164" showAll="0"/>
    <pivotField axis="axisRow" numFmtId="164" showAll="0" sortType="ascending" defaultSubtotal="0">
      <items count="76">
        <item m="1" x="69"/>
        <item m="1" x="63"/>
        <item x="0"/>
        <item m="1" x="39"/>
        <item m="1" x="45"/>
        <item x="1"/>
        <item m="1" x="55"/>
        <item m="1" x="62"/>
        <item x="2"/>
        <item m="1" x="25"/>
        <item x="3"/>
        <item m="1" x="27"/>
        <item x="4"/>
        <item m="1" x="56"/>
        <item m="1" x="33"/>
        <item x="5"/>
        <item m="1" x="46"/>
        <item m="1" x="70"/>
        <item x="6"/>
        <item m="1" x="32"/>
        <item m="1" x="65"/>
        <item x="7"/>
        <item m="1" x="73"/>
        <item m="1" x="57"/>
        <item m="1" x="49"/>
        <item m="1" x="68"/>
        <item x="8"/>
        <item m="1" x="28"/>
        <item m="1" x="26"/>
        <item x="9"/>
        <item m="1" x="35"/>
        <item x="10"/>
        <item m="1" x="29"/>
        <item m="1" x="58"/>
        <item x="11"/>
        <item m="1" x="64"/>
        <item m="1" x="48"/>
        <item x="12"/>
        <item m="1" x="59"/>
        <item m="1" x="37"/>
        <item x="13"/>
        <item m="1" x="67"/>
        <item m="1" x="61"/>
        <item x="14"/>
        <item m="1" x="74"/>
        <item m="1" x="71"/>
        <item x="15"/>
        <item m="1" x="75"/>
        <item m="1" x="41"/>
        <item x="16"/>
        <item m="1" x="52"/>
        <item m="1" x="51"/>
        <item x="17"/>
        <item m="1" x="66"/>
        <item m="1" x="38"/>
        <item x="18"/>
        <item m="1" x="47"/>
        <item m="1" x="72"/>
        <item x="19"/>
        <item m="1" x="30"/>
        <item m="1" x="50"/>
        <item x="20"/>
        <item m="1" x="60"/>
        <item m="1" x="40"/>
        <item m="1" x="31"/>
        <item x="21"/>
        <item m="1" x="43"/>
        <item x="22"/>
        <item m="1" x="53"/>
        <item m="1" x="42"/>
        <item x="23"/>
        <item m="1" x="54"/>
        <item m="1" x="36"/>
        <item x="24"/>
        <item m="1" x="44"/>
        <item m="1" x="34"/>
      </items>
    </pivotField>
    <pivotField dataField="1" numFmtId="164" showAll="0" defaultSubtotal="0"/>
    <pivotField dataField="1" numFmtId="164" showAll="0"/>
    <pivotField numFmtId="164" showAll="0"/>
    <pivotField dataField="1" numFmtId="164" showAll="0"/>
    <pivotField numFmtId="164" showAll="0"/>
    <pivotField axis="axisPage" numFmtId="164" outline="0" multipleItemSelectionAllowed="1" showAll="0">
      <items count="7">
        <item x="0"/>
        <item h="1" x="1"/>
        <item h="1" m="1" x="3"/>
        <item h="1" m="1" x="4"/>
        <item h="1" m="1" x="5"/>
        <item h="1" m="1" x="2"/>
        <item t="default"/>
      </items>
    </pivotField>
    <pivotField showAll="0">
      <items count="5">
        <item x="0"/>
        <item m="1" x="1"/>
        <item m="1" x="2"/>
        <item m="1" x="3"/>
        <item t="default"/>
      </items>
    </pivotField>
    <pivotField numFmtId="164" dragToRow="0" dragToCol="0" dragToPage="0" showAll="0" defaultSubtotal="0"/>
    <pivotField numFmtId="164" dragToRow="0" dragToCol="0" dragToPage="0" showAll="0" defaultSubtotal="0"/>
  </pivotFields>
  <rowFields count="1">
    <field x="1"/>
  </rowFields>
  <rowItems count="25">
    <i>
      <x v="2"/>
    </i>
    <i>
      <x v="5"/>
    </i>
    <i>
      <x v="8"/>
    </i>
    <i>
      <x v="10"/>
    </i>
    <i>
      <x v="12"/>
    </i>
    <i>
      <x v="15"/>
    </i>
    <i>
      <x v="18"/>
    </i>
    <i>
      <x v="21"/>
    </i>
    <i>
      <x v="26"/>
    </i>
    <i>
      <x v="29"/>
    </i>
    <i>
      <x v="31"/>
    </i>
    <i>
      <x v="34"/>
    </i>
    <i>
      <x v="37"/>
    </i>
    <i>
      <x v="40"/>
    </i>
    <i>
      <x v="43"/>
    </i>
    <i>
      <x v="46"/>
    </i>
    <i>
      <x v="49"/>
    </i>
    <i>
      <x v="52"/>
    </i>
    <i>
      <x v="55"/>
    </i>
    <i>
      <x v="58"/>
    </i>
    <i>
      <x v="61"/>
    </i>
    <i>
      <x v="65"/>
    </i>
    <i>
      <x v="67"/>
    </i>
    <i>
      <x v="70"/>
    </i>
    <i>
      <x v="73"/>
    </i>
  </rowItems>
  <colFields count="1">
    <field x="-2"/>
  </colFields>
  <colItems count="3">
    <i>
      <x/>
    </i>
    <i i="1">
      <x v="1"/>
    </i>
    <i i="2">
      <x v="2"/>
    </i>
  </colItems>
  <pageFields count="1">
    <pageField fld="7" hier="-1"/>
  </pageFields>
  <dataFields count="3">
    <dataField name="Volume" fld="2" baseField="0" baseItem="0"/>
    <dataField name="Lowest Price" fld="3" subtotal="min" baseField="1" baseItem="30" numFmtId="168"/>
    <dataField name="Max of Seconds" fld="5" subtotal="max" baseField="1" baseItem="8"/>
  </dataFields>
  <formats count="30">
    <format dxfId="13">
      <pivotArea outline="0" collapsedLevelsAreSubtotals="1" fieldPosition="0">
        <references count="1">
          <reference field="4294967294" count="1" selected="0">
            <x v="1"/>
          </reference>
        </references>
      </pivotArea>
    </format>
    <format dxfId="14">
      <pivotArea dataOnly="0" labelOnly="1" outline="0" fieldPosition="0">
        <references count="1">
          <reference field="4294967294" count="1">
            <x v="1"/>
          </reference>
        </references>
      </pivotArea>
    </format>
    <format dxfId="15">
      <pivotArea dataOnly="0" labelOnly="1" outline="0" fieldPosition="0">
        <references count="1">
          <reference field="4294967294" count="2">
            <x v="0"/>
            <x v="1"/>
          </reference>
        </references>
      </pivotArea>
    </format>
    <format dxfId="16">
      <pivotArea type="all" dataOnly="0" outline="0" fieldPosition="0"/>
    </format>
    <format dxfId="17">
      <pivotArea outline="0" collapsedLevelsAreSubtotals="1" fieldPosition="0"/>
    </format>
    <format dxfId="18">
      <pivotArea dataOnly="0" labelOnly="1" outline="0" fieldPosition="0">
        <references count="1">
          <reference field="4294967294" count="2">
            <x v="0"/>
            <x v="1"/>
          </reference>
        </references>
      </pivotArea>
    </format>
    <format dxfId="19">
      <pivotArea field="1" type="button" dataOnly="0" labelOnly="1" outline="0" axis="axisRow" fieldPosition="0"/>
    </format>
    <format dxfId="20">
      <pivotArea field="1" type="button" dataOnly="0" labelOnly="1" outline="0" axis="axisRow" fieldPosition="0"/>
    </format>
    <format dxfId="21">
      <pivotArea dataOnly="0" labelOnly="1" outline="0" fieldPosition="0">
        <references count="1">
          <reference field="4294967294" count="2">
            <x v="0"/>
            <x v="1"/>
          </reference>
        </references>
      </pivotArea>
    </format>
    <format dxfId="22">
      <pivotArea field="1" type="button" dataOnly="0" labelOnly="1" outline="0" axis="axisRow" fieldPosition="0"/>
    </format>
    <format dxfId="23">
      <pivotArea dataOnly="0" labelOnly="1" outline="0" fieldPosition="0">
        <references count="1">
          <reference field="4294967294" count="2">
            <x v="0"/>
            <x v="1"/>
          </reference>
        </references>
      </pivotArea>
    </format>
    <format dxfId="24">
      <pivotArea outline="0" fieldPosition="0">
        <references count="1">
          <reference field="4294967294" count="1">
            <x v="1"/>
          </reference>
        </references>
      </pivotArea>
    </format>
    <format dxfId="25">
      <pivotArea collapsedLevelsAreSubtotals="1" fieldPosition="0">
        <references count="2">
          <reference field="4294967294" count="1" selected="0">
            <x v="1"/>
          </reference>
          <reference field="1" count="1">
            <x v="3"/>
          </reference>
        </references>
      </pivotArea>
    </format>
    <format dxfId="26">
      <pivotArea collapsedLevelsAreSubtotals="1" fieldPosition="0">
        <references count="2">
          <reference field="4294967294" count="1" selected="0">
            <x v="1"/>
          </reference>
          <reference field="1" count="1">
            <x v="3"/>
          </reference>
        </references>
      </pivotArea>
    </format>
    <format dxfId="27">
      <pivotArea collapsedLevelsAreSubtotals="1" fieldPosition="0">
        <references count="2">
          <reference field="4294967294" count="1" selected="0">
            <x v="1"/>
          </reference>
          <reference field="1" count="11">
            <x v="9"/>
            <x v="16"/>
            <x v="19"/>
            <x v="22"/>
            <x v="27"/>
            <x v="35"/>
            <x v="41"/>
            <x v="44"/>
            <x v="53"/>
            <x v="56"/>
            <x v="66"/>
          </reference>
        </references>
      </pivotArea>
    </format>
    <format dxfId="28">
      <pivotArea collapsedLevelsAreSubtotals="1" fieldPosition="0">
        <references count="2">
          <reference field="4294967294" count="1" selected="0">
            <x v="1"/>
          </reference>
          <reference field="1" count="11">
            <x v="9"/>
            <x v="16"/>
            <x v="19"/>
            <x v="22"/>
            <x v="27"/>
            <x v="35"/>
            <x v="41"/>
            <x v="44"/>
            <x v="53"/>
            <x v="56"/>
            <x v="66"/>
          </reference>
        </references>
      </pivotArea>
    </format>
    <format dxfId="29">
      <pivotArea collapsedLevelsAreSubtotals="1" fieldPosition="0">
        <references count="2">
          <reference field="4294967294" count="1" selected="0">
            <x v="1"/>
          </reference>
          <reference field="1" count="1">
            <x v="53"/>
          </reference>
        </references>
      </pivotArea>
    </format>
    <format dxfId="30">
      <pivotArea collapsedLevelsAreSubtotals="1" fieldPosition="0">
        <references count="2">
          <reference field="4294967294" count="1" selected="0">
            <x v="1"/>
          </reference>
          <reference field="1" count="1">
            <x v="53"/>
          </reference>
        </references>
      </pivotArea>
    </format>
    <format dxfId="31">
      <pivotArea outline="0" collapsedLevelsAreSubtotals="1" fieldPosition="0">
        <references count="1">
          <reference field="4294967294" count="1" selected="0">
            <x v="1"/>
          </reference>
        </references>
      </pivotArea>
    </format>
    <format dxfId="32">
      <pivotArea dataOnly="0" labelOnly="1" outline="0" fieldPosition="0">
        <references count="1">
          <reference field="4294967294" count="1">
            <x v="1"/>
          </reference>
        </references>
      </pivotArea>
    </format>
    <format dxfId="33">
      <pivotArea outline="0" fieldPosition="0">
        <references count="1">
          <reference field="4294967294" count="1">
            <x v="0"/>
          </reference>
        </references>
      </pivotArea>
    </format>
    <format dxfId="34">
      <pivotArea dataOnly="0" labelOnly="1" outline="0" fieldPosition="0">
        <references count="1">
          <reference field="7" count="0"/>
        </references>
      </pivotArea>
    </format>
    <format dxfId="35">
      <pivotArea outline="0" collapsedLevelsAreSubtotals="1" fieldPosition="0">
        <references count="1">
          <reference field="4294967294" count="1" selected="0">
            <x v="0"/>
          </reference>
        </references>
      </pivotArea>
    </format>
    <format dxfId="36">
      <pivotArea outline="0" collapsedLevelsAreSubtotals="1" fieldPosition="0">
        <references count="1">
          <reference field="4294967294" count="1" selected="0">
            <x v="1"/>
          </reference>
        </references>
      </pivotArea>
    </format>
    <format dxfId="37">
      <pivotArea dataOnly="0" labelOnly="1" outline="0" fieldPosition="0">
        <references count="1">
          <reference field="4294967294" count="1">
            <x v="2"/>
          </reference>
        </references>
      </pivotArea>
    </format>
    <format dxfId="38">
      <pivotArea outline="0" collapsedLevelsAreSubtotals="1" fieldPosition="0">
        <references count="1">
          <reference field="4294967294" count="1" selected="0">
            <x v="2"/>
          </reference>
        </references>
      </pivotArea>
    </format>
    <format dxfId="39">
      <pivotArea outline="0" collapsedLevelsAreSubtotals="1" fieldPosition="0">
        <references count="1">
          <reference field="4294967294" count="1" selected="0">
            <x v="2"/>
          </reference>
        </references>
      </pivotArea>
    </format>
    <format dxfId="40">
      <pivotArea dataOnly="0" labelOnly="1" outline="0" fieldPosition="0">
        <references count="1">
          <reference field="4294967294" count="1">
            <x v="2"/>
          </reference>
        </references>
      </pivotArea>
    </format>
    <format dxfId="41">
      <pivotArea dataOnly="0" labelOnly="1" outline="0" fieldPosition="0">
        <references count="1">
          <reference field="4294967294" count="1">
            <x v="2"/>
          </reference>
        </references>
      </pivotArea>
    </format>
    <format dxfId="42">
      <pivotArea type="topRight" dataOnly="0" labelOnly="1" outline="0" offset="B1" fieldPosition="0"/>
    </format>
  </formats>
  <pivotTableStyleInfo name="PivotStyleDark2"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A3F719-F2F9-4A78-A59B-A05FDCA0488A}" name="PivotTable1" cacheId="0"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5" indent="0" outline="1" outlineData="1" multipleFieldFilters="0" rowHeaderCaption="Symbol" fieldListSortAscending="1">
  <location ref="H16:K42" firstHeaderRow="1" firstDataRow="2" firstDataCol="1" rowPageCount="1" colPageCount="1"/>
  <pivotFields count="11">
    <pivotField numFmtId="164" showAll="0"/>
    <pivotField axis="axisRow" numFmtId="164" showAll="0" sortType="ascending" defaultSubtotal="0">
      <items count="76">
        <item m="1" x="69"/>
        <item m="1" x="63"/>
        <item x="0"/>
        <item m="1" x="39"/>
        <item m="1" x="45"/>
        <item x="1"/>
        <item m="1" x="55"/>
        <item m="1" x="62"/>
        <item x="2"/>
        <item m="1" x="25"/>
        <item x="3"/>
        <item m="1" x="27"/>
        <item x="4"/>
        <item m="1" x="56"/>
        <item m="1" x="33"/>
        <item x="5"/>
        <item m="1" x="46"/>
        <item m="1" x="70"/>
        <item x="6"/>
        <item m="1" x="32"/>
        <item m="1" x="65"/>
        <item x="7"/>
        <item m="1" x="73"/>
        <item m="1" x="57"/>
        <item m="1" x="49"/>
        <item m="1" x="68"/>
        <item x="8"/>
        <item m="1" x="28"/>
        <item m="1" x="26"/>
        <item x="9"/>
        <item m="1" x="35"/>
        <item x="10"/>
        <item m="1" x="29"/>
        <item m="1" x="58"/>
        <item x="11"/>
        <item m="1" x="64"/>
        <item m="1" x="48"/>
        <item x="12"/>
        <item m="1" x="59"/>
        <item m="1" x="37"/>
        <item x="13"/>
        <item m="1" x="67"/>
        <item m="1" x="61"/>
        <item x="14"/>
        <item m="1" x="74"/>
        <item m="1" x="71"/>
        <item x="15"/>
        <item m="1" x="75"/>
        <item m="1" x="41"/>
        <item x="16"/>
        <item m="1" x="52"/>
        <item m="1" x="51"/>
        <item x="17"/>
        <item m="1" x="66"/>
        <item m="1" x="38"/>
        <item x="18"/>
        <item m="1" x="47"/>
        <item m="1" x="72"/>
        <item x="19"/>
        <item m="1" x="30"/>
        <item m="1" x="50"/>
        <item x="20"/>
        <item m="1" x="60"/>
        <item m="1" x="40"/>
        <item m="1" x="31"/>
        <item x="21"/>
        <item m="1" x="43"/>
        <item x="22"/>
        <item m="1" x="53"/>
        <item m="1" x="42"/>
        <item x="23"/>
        <item m="1" x="54"/>
        <item m="1" x="36"/>
        <item x="24"/>
        <item m="1" x="44"/>
        <item m="1" x="34"/>
      </items>
    </pivotField>
    <pivotField dataField="1" numFmtId="164" showAll="0" defaultSubtotal="0"/>
    <pivotField dataField="1" numFmtId="164" showAll="0"/>
    <pivotField numFmtId="164" showAll="0"/>
    <pivotField dataField="1" numFmtId="164" showAll="0"/>
    <pivotField numFmtId="164" showAll="0"/>
    <pivotField axis="axisPage" numFmtId="164" multipleItemSelectionAllowed="1" showAll="0" defaultSubtotal="0">
      <items count="6">
        <item h="1" x="0"/>
        <item x="1"/>
        <item h="1" m="1" x="3"/>
        <item h="1" m="1" x="4"/>
        <item h="1" m="1" x="5"/>
        <item h="1" m="1" x="2"/>
      </items>
    </pivotField>
    <pivotField showAll="0">
      <items count="5">
        <item x="0"/>
        <item m="1" x="1"/>
        <item m="1" x="2"/>
        <item m="1" x="3"/>
        <item t="default"/>
      </items>
    </pivotField>
    <pivotField numFmtId="164" dragToRow="0" dragToCol="0" dragToPage="0" showAll="0" defaultSubtotal="0"/>
    <pivotField numFmtId="164" dragToRow="0" dragToCol="0" dragToPage="0" showAll="0" defaultSubtotal="0"/>
  </pivotFields>
  <rowFields count="1">
    <field x="1"/>
  </rowFields>
  <rowItems count="25">
    <i>
      <x v="2"/>
    </i>
    <i>
      <x v="5"/>
    </i>
    <i>
      <x v="8"/>
    </i>
    <i>
      <x v="10"/>
    </i>
    <i>
      <x v="12"/>
    </i>
    <i>
      <x v="15"/>
    </i>
    <i>
      <x v="18"/>
    </i>
    <i>
      <x v="21"/>
    </i>
    <i>
      <x v="26"/>
    </i>
    <i>
      <x v="29"/>
    </i>
    <i>
      <x v="31"/>
    </i>
    <i>
      <x v="34"/>
    </i>
    <i>
      <x v="37"/>
    </i>
    <i>
      <x v="40"/>
    </i>
    <i>
      <x v="43"/>
    </i>
    <i>
      <x v="46"/>
    </i>
    <i>
      <x v="49"/>
    </i>
    <i>
      <x v="52"/>
    </i>
    <i>
      <x v="55"/>
    </i>
    <i>
      <x v="58"/>
    </i>
    <i>
      <x v="61"/>
    </i>
    <i>
      <x v="65"/>
    </i>
    <i>
      <x v="67"/>
    </i>
    <i>
      <x v="70"/>
    </i>
    <i>
      <x v="73"/>
    </i>
  </rowItems>
  <colFields count="1">
    <field x="-2"/>
  </colFields>
  <colItems count="3">
    <i>
      <x/>
    </i>
    <i i="1">
      <x v="1"/>
    </i>
    <i i="2">
      <x v="2"/>
    </i>
  </colItems>
  <pageFields count="1">
    <pageField fld="7" hier="-1"/>
  </pageFields>
  <dataFields count="3">
    <dataField name="Volume" fld="2" baseField="0" baseItem="0"/>
    <dataField name="Max Price" fld="3" subtotal="max" baseField="1" baseItem="10" numFmtId="168"/>
    <dataField name="Max of Seconds" fld="5" subtotal="max" baseField="1" baseItem="8"/>
  </dataFields>
  <formats count="20">
    <format dxfId="43">
      <pivotArea outline="0" collapsedLevelsAreSubtotals="1" fieldPosition="0">
        <references count="1">
          <reference field="4294967294" count="1" selected="0">
            <x v="1"/>
          </reference>
        </references>
      </pivotArea>
    </format>
    <format dxfId="44">
      <pivotArea dataOnly="0" labelOnly="1" outline="0" fieldPosition="0">
        <references count="1">
          <reference field="4294967294" count="1">
            <x v="1"/>
          </reference>
        </references>
      </pivotArea>
    </format>
    <format dxfId="45">
      <pivotArea dataOnly="0" labelOnly="1" outline="0" fieldPosition="0">
        <references count="1">
          <reference field="4294967294" count="2">
            <x v="0"/>
            <x v="1"/>
          </reference>
        </references>
      </pivotArea>
    </format>
    <format dxfId="46">
      <pivotArea type="all" dataOnly="0" outline="0" fieldPosition="0"/>
    </format>
    <format dxfId="47">
      <pivotArea outline="0" collapsedLevelsAreSubtotals="1" fieldPosition="0"/>
    </format>
    <format dxfId="48">
      <pivotArea dataOnly="0" labelOnly="1" outline="0" fieldPosition="0">
        <references count="1">
          <reference field="4294967294" count="2">
            <x v="0"/>
            <x v="1"/>
          </reference>
        </references>
      </pivotArea>
    </format>
    <format dxfId="49">
      <pivotArea field="1" type="button" dataOnly="0" labelOnly="1" outline="0" axis="axisRow" fieldPosition="0"/>
    </format>
    <format dxfId="50">
      <pivotArea field="1" type="button" dataOnly="0" labelOnly="1" outline="0" axis="axisRow" fieldPosition="0"/>
    </format>
    <format dxfId="51">
      <pivotArea dataOnly="0" labelOnly="1" outline="0" fieldPosition="0">
        <references count="1">
          <reference field="4294967294" count="2">
            <x v="0"/>
            <x v="1"/>
          </reference>
        </references>
      </pivotArea>
    </format>
    <format dxfId="52">
      <pivotArea collapsedLevelsAreSubtotals="1" fieldPosition="0">
        <references count="2">
          <reference field="4294967294" count="1" selected="0">
            <x v="1"/>
          </reference>
          <reference field="1" count="9">
            <x v="3"/>
            <x v="19"/>
            <x v="22"/>
            <x v="27"/>
            <x v="35"/>
            <x v="41"/>
            <x v="44"/>
            <x v="56"/>
            <x v="66"/>
          </reference>
        </references>
      </pivotArea>
    </format>
    <format dxfId="53">
      <pivotArea collapsedLevelsAreSubtotals="1" fieldPosition="0">
        <references count="2">
          <reference field="4294967294" count="1" selected="0">
            <x v="1"/>
          </reference>
          <reference field="1" count="9">
            <x v="3"/>
            <x v="19"/>
            <x v="22"/>
            <x v="27"/>
            <x v="35"/>
            <x v="41"/>
            <x v="44"/>
            <x v="56"/>
            <x v="66"/>
          </reference>
        </references>
      </pivotArea>
    </format>
    <format dxfId="54">
      <pivotArea collapsedLevelsAreSubtotals="1" fieldPosition="0">
        <references count="2">
          <reference field="4294967294" count="1" selected="0">
            <x v="1"/>
          </reference>
          <reference field="1" count="2">
            <x v="9"/>
            <x v="16"/>
          </reference>
        </references>
      </pivotArea>
    </format>
    <format dxfId="55">
      <pivotArea collapsedLevelsAreSubtotals="1" fieldPosition="0">
        <references count="2">
          <reference field="4294967294" count="1" selected="0">
            <x v="1"/>
          </reference>
          <reference field="1" count="2">
            <x v="9"/>
            <x v="16"/>
          </reference>
        </references>
      </pivotArea>
    </format>
    <format dxfId="56">
      <pivotArea outline="0" collapsedLevelsAreSubtotals="1" fieldPosition="0">
        <references count="1">
          <reference field="4294967294" count="1" selected="0">
            <x v="1"/>
          </reference>
        </references>
      </pivotArea>
    </format>
    <format dxfId="57">
      <pivotArea dataOnly="0" labelOnly="1" outline="0" fieldPosition="0">
        <references count="1">
          <reference field="4294967294" count="1">
            <x v="1"/>
          </reference>
        </references>
      </pivotArea>
    </format>
    <format dxfId="58">
      <pivotArea dataOnly="0" labelOnly="1" outline="0" fieldPosition="0">
        <references count="1">
          <reference field="7" count="0"/>
        </references>
      </pivotArea>
    </format>
    <format dxfId="59">
      <pivotArea outline="0" collapsedLevelsAreSubtotals="1" fieldPosition="0">
        <references count="1">
          <reference field="4294967294" count="1" selected="0">
            <x v="0"/>
          </reference>
        </references>
      </pivotArea>
    </format>
    <format dxfId="60">
      <pivotArea outline="0" collapsedLevelsAreSubtotals="1" fieldPosition="0">
        <references count="1">
          <reference field="4294967294" count="1" selected="0">
            <x v="1"/>
          </reference>
        </references>
      </pivotArea>
    </format>
    <format dxfId="61">
      <pivotArea dataOnly="0" labelOnly="1" outline="0" fieldPosition="0">
        <references count="1">
          <reference field="4294967294" count="1">
            <x v="2"/>
          </reference>
        </references>
      </pivotArea>
    </format>
    <format dxfId="62">
      <pivotArea outline="0" collapsedLevelsAreSubtotals="1" fieldPosition="0">
        <references count="1">
          <reference field="4294967294" count="1" selected="0">
            <x v="2"/>
          </reference>
        </references>
      </pivotArea>
    </format>
  </formats>
  <pivotTableStyleInfo name="PivotStyleDark2"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b_a mt4_trades" connectionId="1" xr16:uid="{991AE7FC-E17B-4361-92BA-F824FC3DEE96}" autoFormatId="16" applyNumberFormats="0" applyBorderFormats="0" applyFontFormats="0" applyPatternFormats="0" applyAlignmentFormats="0" applyWidthHeightFormats="0">
  <queryTableRefresh nextId="25">
    <queryTableFields count="8">
      <queryTableField id="18" name="Db_Name" tableColumnId="13"/>
      <queryTableField id="3" name="SYMBOL" tableColumnId="3"/>
      <queryTableField id="6" name="VOLUME" tableColumnId="6"/>
      <queryTableField id="20" name="No. of Orders" tableColumnId="1"/>
      <queryTableField id="21" name="Avg_Vol" tableColumnId="2"/>
      <queryTableField id="22" name="Lowest Price" tableColumnId="4"/>
      <queryTableField id="23" name="Avg_Price" tableColumnId="5"/>
      <queryTableField id="24" name="Current_Price"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b_a mt4_trades2" connectionId="2" xr16:uid="{6A567C92-5EEA-441A-918B-727275C226C4}" autoFormatId="16" applyNumberFormats="0" applyBorderFormats="0" applyFontFormats="0" applyPatternFormats="0" applyAlignmentFormats="0" applyWidthHeightFormats="0">
  <queryTableRefresh nextId="9">
    <queryTableFields count="8">
      <queryTableField id="1" name="Db_Name" tableColumnId="1"/>
      <queryTableField id="2" name="Symbol" tableColumnId="2"/>
      <queryTableField id="3" name="Volume" tableColumnId="3"/>
      <queryTableField id="4" name="No. of Orders" tableColumnId="4"/>
      <queryTableField id="5" name="Avg_Vol" tableColumnId="5"/>
      <queryTableField id="6" name="Lowest Price" tableColumnId="6"/>
      <queryTableField id="7" name="Avg_Price" tableColumnId="7"/>
      <queryTableField id="8" name="Current_Price"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29899E7E-0ECB-49C4-9970-7DA58C8FAABB}" sourceName="GROUP">
  <pivotTables>
    <pivotTable tabId="5" name="PivotTable1"/>
    <pivotTable tabId="5" name="PivotTable2"/>
  </pivotTables>
  <data>
    <tabular pivotCacheId="1711981398">
      <items count="4">
        <i x="0" s="1"/>
        <i x="1" s="1" nd="1"/>
        <i x="2"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b_Name" xr10:uid="{7C6C52EE-70CB-4458-967E-D30FDD19D4DD}" sourceName="Db_Name">
  <extLst>
    <x:ext xmlns:x15="http://schemas.microsoft.com/office/spreadsheetml/2010/11/main" uri="{2F2917AC-EB37-4324-AD4E-5DD8C200BD13}">
      <x15:tableSlicerCache tableId="2" column="1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ymbol" xr10:uid="{07D8799D-C93A-4FEC-9349-531191653841}" sourceName="Symbol">
  <extLst>
    <x:ext xmlns:x15="http://schemas.microsoft.com/office/spreadsheetml/2010/11/main" uri="{2F2917AC-EB37-4324-AD4E-5DD8C200BD13}">
      <x15:tableSlicerCache tableId="2"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 xr10:uid="{7479CE0B-601C-418C-8C9D-23B0745848D7}" cache="Slicer_GROUP" caption="GROUP"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b_Name" xr10:uid="{684821B8-A589-435A-BD53-4157AF4C80CF}" cache="Slicer_Db_Name" caption="Db_Name" rowHeight="241300"/>
  <slicer name="Symbol" xr10:uid="{46D24296-3742-43BC-BEA8-88EDD7598F25}" cache="Slicer_Symbol" caption="Symbol"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6CA9254-8EAB-44D5-9843-0BD947946990}" name="Table3" displayName="Table3" ref="B4:G9" totalsRowShown="0" headerRowDxfId="12">
  <autoFilter ref="B4:G9" xr:uid="{17AF53A5-F9A6-4DA6-A602-263120F3E584}"/>
  <tableColumns count="6">
    <tableColumn id="6" xr3:uid="{67E7AE7C-0448-455D-B3FF-4985ED856837}" name="TT"/>
    <tableColumn id="5" xr3:uid="{909503B8-5EB1-49DA-AE61-C8DB1668962D}" name="Date" dataDxfId="11">
      <calculatedColumnFormula>NOW()-TIME($A$2,0,0)</calculatedColumnFormula>
    </tableColumn>
    <tableColumn id="1" xr3:uid="{5A5A3BF6-5B0B-4E26-B517-CEE1F93A5862}" name="Type"/>
    <tableColumn id="2" xr3:uid="{4421F748-9595-4F90-A687-ECACDCC42938}" name="Volume" dataDxfId="10" dataCellStyle="Comma"/>
    <tableColumn id="3" xr3:uid="{29C45599-E37F-40B0-ABD0-A011B5BBE175}" name="Profit" dataDxfId="9" dataCellStyle="Currency"/>
    <tableColumn id="4" xr3:uid="{0A80C8EB-B865-4F7D-8F1F-443EA41C2F6A}" name="%" dataDxfId="8" dataCellStyle="Percent">
      <calculatedColumnFormula>IFERROR(F5/E5,"")</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FCBD4FF-6C28-48E8-866C-6FDF36818FD0}" name="Table_db_a_mt4_trades" displayName="Table_db_a_mt4_trades" ref="A6:H7" tableType="queryTable" insertRow="1" totalsRowShown="0">
  <autoFilter ref="A6:H7" xr:uid="{EC4C251F-4B93-4558-9199-17EFCB128220}"/>
  <tableColumns count="8">
    <tableColumn id="13" xr3:uid="{9B7D7FC6-73A7-429A-AF89-B30A54DA565B}" uniqueName="13" name="Db_Name" queryTableFieldId="18" dataDxfId="63"/>
    <tableColumn id="3" xr3:uid="{2010E784-AB97-4A7C-A7E8-A96B5C5FEA05}" uniqueName="3" name="Symbol" queryTableFieldId="3"/>
    <tableColumn id="6" xr3:uid="{97D07582-4169-4A18-98E3-083C693ADC30}" uniqueName="6" name="Volume" queryTableFieldId="6"/>
    <tableColumn id="1" xr3:uid="{14DAC57E-03C5-4C48-9512-D4AD645EB2B4}" uniqueName="1" name="No. of Orders" queryTableFieldId="20"/>
    <tableColumn id="2" xr3:uid="{1F40D7CA-5D18-465C-BB47-6CFB15CD5694}" uniqueName="2" name="Avg_Vol" queryTableFieldId="21"/>
    <tableColumn id="4" xr3:uid="{A8B6D7CB-83DD-4A69-A888-3AB0DA397BBE}" uniqueName="4" name="Lowest Price" queryTableFieldId="22"/>
    <tableColumn id="5" xr3:uid="{A4227C21-D713-477F-BD10-BEE8DE3FAF70}" uniqueName="5" name="Avg_Price" queryTableFieldId="23"/>
    <tableColumn id="7" xr3:uid="{5D25B3EA-D455-46A5-A16C-EF81481847A1}" uniqueName="7" name="Current_Price" queryTableFieldId="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7802AC-FFC9-4F45-9785-F4E59316B8DB}" name="Table_db_a_mt4_trades2" displayName="Table_db_a_mt4_trades2" ref="J6:Q7" tableType="queryTable" insertRow="1" totalsRowShown="0">
  <tableColumns count="8">
    <tableColumn id="1" xr3:uid="{5C99BDE7-52E8-438C-A116-BE648842D188}" uniqueName="1" name="Db_Name" queryTableFieldId="1"/>
    <tableColumn id="2" xr3:uid="{ED10BD57-2B8D-4465-9857-FBED4FB4CCC2}" uniqueName="2" name="Symbol" queryTableFieldId="2"/>
    <tableColumn id="3" xr3:uid="{9572480A-65F4-47FE-ADD5-C43B2908AA15}" uniqueName="3" name="Volume" queryTableFieldId="3"/>
    <tableColumn id="4" xr3:uid="{5CB57C4D-6543-4050-AA01-D5A2C2C80D65}" uniqueName="4" name="No. of Orders" queryTableFieldId="4"/>
    <tableColumn id="5" xr3:uid="{BBE43AE4-35BD-4849-A4C6-B318254545B8}" uniqueName="5" name="Avg_Vol" queryTableFieldId="5"/>
    <tableColumn id="6" xr3:uid="{B0E05EA5-40AA-4AF6-A5AA-F7DC830332CA}" uniqueName="6" name="Lowest Price" queryTableFieldId="6"/>
    <tableColumn id="7" xr3:uid="{4886336B-70B3-40E8-B893-2539635D7BC3}" uniqueName="7" name="Avg_Price" queryTableFieldId="7"/>
    <tableColumn id="8" xr3:uid="{47D0AA1F-BC73-4005-B9B9-C58D7B493FFF}" uniqueName="8" name="Current_Price"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2.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274BE-2D33-46D1-A8DC-43CE8AD690D1}">
  <sheetPr codeName="Sheet1"/>
  <dimension ref="A1:IV28"/>
  <sheetViews>
    <sheetView zoomScale="70" zoomScaleNormal="70" workbookViewId="0">
      <selection activeCell="K12" sqref="K12"/>
    </sheetView>
  </sheetViews>
  <sheetFormatPr defaultColWidth="11.5546875" defaultRowHeight="14.4" x14ac:dyDescent="0.3"/>
  <cols>
    <col min="1" max="10" width="14.44140625" style="2" customWidth="1"/>
    <col min="11" max="11" width="16.77734375" style="2" bestFit="1" customWidth="1"/>
    <col min="12" max="20" width="14.44140625" style="2" customWidth="1"/>
    <col min="21" max="21" width="5.77734375" style="2" bestFit="1" customWidth="1"/>
    <col min="22" max="256" width="14.44140625" style="2" customWidth="1"/>
    <col min="260" max="512" width="14.44140625" customWidth="1"/>
    <col min="516" max="768" width="14.44140625" customWidth="1"/>
    <col min="772" max="1024" width="14.44140625" customWidth="1"/>
    <col min="1028" max="1280" width="14.44140625" customWidth="1"/>
    <col min="1284" max="1536" width="14.44140625" customWidth="1"/>
    <col min="1540" max="1792" width="14.44140625" customWidth="1"/>
    <col min="1796" max="2048" width="14.44140625" customWidth="1"/>
    <col min="2052" max="2304" width="14.44140625" customWidth="1"/>
    <col min="2308" max="2560" width="14.44140625" customWidth="1"/>
    <col min="2564" max="2816" width="14.44140625" customWidth="1"/>
    <col min="2820" max="3072" width="14.44140625" customWidth="1"/>
    <col min="3076" max="3328" width="14.44140625" customWidth="1"/>
    <col min="3332" max="3584" width="14.44140625" customWidth="1"/>
    <col min="3588" max="3840" width="14.44140625" customWidth="1"/>
    <col min="3844" max="4096" width="14.44140625" customWidth="1"/>
    <col min="4100" max="4352" width="14.44140625" customWidth="1"/>
    <col min="4356" max="4608" width="14.44140625" customWidth="1"/>
    <col min="4612" max="4864" width="14.44140625" customWidth="1"/>
    <col min="4868" max="5120" width="14.44140625" customWidth="1"/>
    <col min="5124" max="5376" width="14.44140625" customWidth="1"/>
    <col min="5380" max="5632" width="14.44140625" customWidth="1"/>
    <col min="5636" max="5888" width="14.44140625" customWidth="1"/>
    <col min="5892" max="6144" width="14.44140625" customWidth="1"/>
    <col min="6148" max="6400" width="14.44140625" customWidth="1"/>
    <col min="6404" max="6656" width="14.44140625" customWidth="1"/>
    <col min="6660" max="6912" width="14.44140625" customWidth="1"/>
    <col min="6916" max="7168" width="14.44140625" customWidth="1"/>
    <col min="7172" max="7424" width="14.44140625" customWidth="1"/>
    <col min="7428" max="7680" width="14.44140625" customWidth="1"/>
    <col min="7684" max="7936" width="14.44140625" customWidth="1"/>
    <col min="7940" max="8192" width="14.44140625" customWidth="1"/>
    <col min="8196" max="8448" width="14.44140625" customWidth="1"/>
    <col min="8452" max="8704" width="14.44140625" customWidth="1"/>
    <col min="8708" max="8960" width="14.44140625" customWidth="1"/>
    <col min="8964" max="9216" width="14.44140625" customWidth="1"/>
    <col min="9220" max="9472" width="14.44140625" customWidth="1"/>
    <col min="9476" max="9728" width="14.44140625" customWidth="1"/>
    <col min="9732" max="9984" width="14.44140625" customWidth="1"/>
    <col min="9988" max="10240" width="14.44140625" customWidth="1"/>
    <col min="10244" max="10496" width="14.44140625" customWidth="1"/>
    <col min="10500" max="10752" width="14.44140625" customWidth="1"/>
    <col min="10756" max="11008" width="14.44140625" customWidth="1"/>
    <col min="11012" max="11264" width="14.44140625" customWidth="1"/>
    <col min="11268" max="11520" width="14.44140625" customWidth="1"/>
    <col min="11524" max="11776" width="14.44140625" customWidth="1"/>
    <col min="11780" max="12032" width="14.44140625" customWidth="1"/>
    <col min="12036" max="12288" width="14.44140625" customWidth="1"/>
    <col min="12292" max="12544" width="14.44140625" customWidth="1"/>
    <col min="12548" max="12800" width="14.44140625" customWidth="1"/>
    <col min="12804" max="13056" width="14.44140625" customWidth="1"/>
    <col min="13060" max="13312" width="14.44140625" customWidth="1"/>
    <col min="13316" max="13568" width="14.44140625" customWidth="1"/>
    <col min="13572" max="13824" width="14.44140625" customWidth="1"/>
    <col min="13828" max="14080" width="14.44140625" customWidth="1"/>
    <col min="14084" max="14336" width="14.44140625" customWidth="1"/>
    <col min="14340" max="14592" width="14.44140625" customWidth="1"/>
    <col min="14596" max="14848" width="14.44140625" customWidth="1"/>
    <col min="14852" max="15104" width="14.44140625" customWidth="1"/>
    <col min="15108" max="15360" width="14.44140625" customWidth="1"/>
    <col min="15364" max="15616" width="14.44140625" customWidth="1"/>
    <col min="15620" max="15872" width="14.44140625" customWidth="1"/>
    <col min="15876" max="16128" width="14.44140625" customWidth="1"/>
    <col min="16132" max="16384" width="14.44140625" customWidth="1"/>
  </cols>
  <sheetData>
    <row r="1" spans="1:7" x14ac:dyDescent="0.3">
      <c r="A1" s="1" t="s">
        <v>0</v>
      </c>
      <c r="B1" s="1" t="s">
        <v>1</v>
      </c>
      <c r="C1" s="1" t="s">
        <v>2</v>
      </c>
      <c r="D1" s="1" t="s">
        <v>3</v>
      </c>
      <c r="E1" s="1" t="s">
        <v>4</v>
      </c>
      <c r="F1" s="1"/>
      <c r="G1" s="1"/>
    </row>
    <row r="2" spans="1:7" x14ac:dyDescent="0.3">
      <c r="A2" s="2">
        <v>62</v>
      </c>
      <c r="B2" s="2" t="s">
        <v>5</v>
      </c>
      <c r="C2" s="2">
        <v>5</v>
      </c>
      <c r="D2" s="2">
        <f>IFERROR(INDEX(Monitor!$P$18:$P$42,MATCH(B2,Monitor!$H$18:$H$42,0)),0)</f>
        <v>25</v>
      </c>
      <c r="E2" s="2">
        <v>5</v>
      </c>
    </row>
    <row r="3" spans="1:7" x14ac:dyDescent="0.3">
      <c r="A3" s="2">
        <v>63</v>
      </c>
      <c r="B3" s="2" t="s">
        <v>6</v>
      </c>
      <c r="C3" s="2">
        <v>3</v>
      </c>
      <c r="D3" s="2">
        <f>IFERROR(INDEX(Monitor!$P$18:$P$42,MATCH(B3,Monitor!$H$18:$H$42,0)),0)</f>
        <v>15</v>
      </c>
      <c r="E3" s="2">
        <v>3</v>
      </c>
    </row>
    <row r="4" spans="1:7" x14ac:dyDescent="0.3">
      <c r="A4" s="2">
        <v>64</v>
      </c>
      <c r="B4" s="2" t="s">
        <v>7</v>
      </c>
      <c r="C4" s="2">
        <v>3</v>
      </c>
      <c r="D4" s="2">
        <f>IFERROR(INDEX(Monitor!$P$18:$P$42,MATCH(B4,Monitor!$H$18:$H$42,0)),0)</f>
        <v>3</v>
      </c>
      <c r="E4" s="2">
        <v>3</v>
      </c>
    </row>
    <row r="5" spans="1:7" x14ac:dyDescent="0.3">
      <c r="A5" s="2">
        <v>65</v>
      </c>
      <c r="B5" s="2" t="s">
        <v>8</v>
      </c>
      <c r="C5" s="2">
        <v>100</v>
      </c>
      <c r="D5" s="2">
        <f>IFERROR(INDEX(Monitor!$P$18:$P$42,MATCH(B5,Monitor!$H$18:$H$42,0)),0)</f>
        <v>0</v>
      </c>
      <c r="E5" s="2">
        <v>100</v>
      </c>
    </row>
    <row r="6" spans="1:7" x14ac:dyDescent="0.3">
      <c r="A6" s="2">
        <v>66</v>
      </c>
      <c r="B6" s="2" t="s">
        <v>9</v>
      </c>
      <c r="C6" s="2">
        <v>100</v>
      </c>
      <c r="D6" s="2">
        <f>IFERROR(INDEX(Monitor!$P$18:$P$42,MATCH(B6,Monitor!$H$18:$H$42,0)),0)</f>
        <v>0</v>
      </c>
      <c r="E6" s="2">
        <v>100</v>
      </c>
    </row>
    <row r="7" spans="1:7" x14ac:dyDescent="0.3">
      <c r="A7" s="2">
        <v>67</v>
      </c>
      <c r="B7" s="2" t="s">
        <v>10</v>
      </c>
      <c r="C7" s="2">
        <v>25</v>
      </c>
      <c r="D7" s="2">
        <f>IFERROR(INDEX(Monitor!$P$18:$P$42,MATCH(B7,Monitor!$H$18:$H$42,0)),0)</f>
        <v>0</v>
      </c>
      <c r="E7" s="2">
        <v>25</v>
      </c>
    </row>
    <row r="8" spans="1:7" x14ac:dyDescent="0.3">
      <c r="A8" s="2">
        <v>68</v>
      </c>
      <c r="B8" s="2" t="s">
        <v>11</v>
      </c>
      <c r="C8" s="2">
        <v>3</v>
      </c>
      <c r="D8" s="2">
        <f>IFERROR(INDEX(Monitor!$P$18:$P$42,MATCH(B8,Monitor!$H$18:$H$42,0)),0)</f>
        <v>3</v>
      </c>
      <c r="E8" s="2">
        <v>3</v>
      </c>
    </row>
    <row r="9" spans="1:7" x14ac:dyDescent="0.3">
      <c r="A9" s="2">
        <v>69</v>
      </c>
      <c r="B9" s="2" t="s">
        <v>12</v>
      </c>
      <c r="C9" s="2">
        <v>3</v>
      </c>
      <c r="D9" s="2">
        <f>IFERROR(INDEX(Monitor!$P$18:$P$42,MATCH(B9,Monitor!$H$18:$H$42,0)),0)</f>
        <v>0</v>
      </c>
      <c r="E9" s="2">
        <v>3</v>
      </c>
    </row>
    <row r="10" spans="1:7" x14ac:dyDescent="0.3">
      <c r="A10" s="2">
        <v>70</v>
      </c>
      <c r="B10" s="2" t="s">
        <v>13</v>
      </c>
      <c r="C10" s="2">
        <v>3</v>
      </c>
      <c r="D10" s="2">
        <f>IFERROR(INDEX(Monitor!$P$18:$P$42,MATCH(B10,Monitor!$H$18:$H$42,0)),0)</f>
        <v>12</v>
      </c>
      <c r="E10" s="2">
        <v>3</v>
      </c>
    </row>
    <row r="11" spans="1:7" x14ac:dyDescent="0.3">
      <c r="A11" s="2">
        <v>71</v>
      </c>
      <c r="B11" s="2" t="s">
        <v>14</v>
      </c>
      <c r="C11" s="2">
        <v>3</v>
      </c>
      <c r="D11" s="2">
        <f>IFERROR(INDEX(Monitor!$P$18:$P$42,MATCH(B11,Monitor!$H$18:$H$42,0)),0)</f>
        <v>0</v>
      </c>
      <c r="E11" s="2">
        <v>3</v>
      </c>
    </row>
    <row r="12" spans="1:7" x14ac:dyDescent="0.3">
      <c r="A12" s="2">
        <v>72</v>
      </c>
      <c r="B12" s="2" t="s">
        <v>15</v>
      </c>
      <c r="C12" s="2">
        <v>3</v>
      </c>
      <c r="D12" s="2">
        <f>IFERROR(INDEX(Monitor!$P$18:$P$42,MATCH(B12,Monitor!$H$18:$H$42,0)),0)</f>
        <v>-3</v>
      </c>
      <c r="E12" s="2">
        <v>3</v>
      </c>
    </row>
    <row r="13" spans="1:7" x14ac:dyDescent="0.3">
      <c r="A13" s="2">
        <v>73</v>
      </c>
      <c r="B13" s="2" t="s">
        <v>16</v>
      </c>
      <c r="C13" s="2">
        <v>3</v>
      </c>
      <c r="D13" s="2">
        <f>IFERROR(INDEX(Monitor!$P$18:$P$42,MATCH(B13,Monitor!$H$18:$H$42,0)),0)</f>
        <v>12</v>
      </c>
      <c r="E13" s="2">
        <v>3</v>
      </c>
    </row>
    <row r="14" spans="1:7" x14ac:dyDescent="0.3">
      <c r="A14" s="2">
        <v>74</v>
      </c>
      <c r="B14" s="2" t="s">
        <v>17</v>
      </c>
      <c r="C14" s="2">
        <v>3</v>
      </c>
      <c r="D14" s="2">
        <f>IFERROR(INDEX(Monitor!$P$18:$P$42,MATCH(B14,Monitor!$H$18:$H$42,0)),0)</f>
        <v>9</v>
      </c>
      <c r="E14" s="2">
        <v>3</v>
      </c>
    </row>
    <row r="15" spans="1:7" x14ac:dyDescent="0.3">
      <c r="A15" s="2">
        <v>75</v>
      </c>
      <c r="B15" s="2" t="s">
        <v>18</v>
      </c>
      <c r="C15" s="2">
        <v>1</v>
      </c>
      <c r="D15" s="2">
        <f>IFERROR(INDEX(Monitor!$P$18:$P$42,MATCH(B15,Monitor!$H$18:$H$42,0)),0)</f>
        <v>8</v>
      </c>
      <c r="E15" s="2">
        <v>1</v>
      </c>
    </row>
    <row r="16" spans="1:7" x14ac:dyDescent="0.3">
      <c r="A16" s="2">
        <v>76</v>
      </c>
      <c r="B16" s="2" t="s">
        <v>19</v>
      </c>
      <c r="C16" s="2">
        <v>1</v>
      </c>
      <c r="D16" s="2">
        <f>IFERROR(INDEX(Monitor!$P$18:$P$42,MATCH(B16,Monitor!$H$18:$H$42,0)),0)</f>
        <v>0</v>
      </c>
      <c r="E16" s="2">
        <v>1</v>
      </c>
    </row>
    <row r="17" spans="1:5" x14ac:dyDescent="0.3">
      <c r="A17" s="2">
        <v>77</v>
      </c>
      <c r="B17" s="2" t="s">
        <v>20</v>
      </c>
      <c r="C17" s="2">
        <v>1</v>
      </c>
      <c r="D17" s="2">
        <f>IFERROR(INDEX(Monitor!$P$18:$P$42,MATCH(B17,Monitor!$H$18:$H$42,0)),0)</f>
        <v>0</v>
      </c>
      <c r="E17" s="2">
        <v>1</v>
      </c>
    </row>
    <row r="18" spans="1:5" x14ac:dyDescent="0.3">
      <c r="A18" s="2">
        <v>78</v>
      </c>
      <c r="B18" s="2" t="s">
        <v>21</v>
      </c>
      <c r="C18" s="2">
        <v>1</v>
      </c>
      <c r="D18" s="2">
        <f>IFERROR(INDEX(Monitor!$P$18:$P$42,MATCH(B18,Monitor!$H$18:$H$42,0)),0)</f>
        <v>0</v>
      </c>
      <c r="E18" s="2">
        <v>1</v>
      </c>
    </row>
    <row r="19" spans="1:5" x14ac:dyDescent="0.3">
      <c r="A19" s="2">
        <v>79</v>
      </c>
      <c r="B19" s="2" t="s">
        <v>22</v>
      </c>
      <c r="C19" s="2">
        <v>1</v>
      </c>
      <c r="D19" s="2">
        <f>IFERROR(INDEX(Monitor!$P$18:$P$42,MATCH(B19,Monitor!$H$18:$H$42,0)),0)</f>
        <v>0</v>
      </c>
      <c r="E19" s="2">
        <v>1</v>
      </c>
    </row>
    <row r="20" spans="1:5" x14ac:dyDescent="0.3">
      <c r="A20" s="2">
        <v>80</v>
      </c>
      <c r="B20" s="2" t="s">
        <v>23</v>
      </c>
      <c r="C20" s="2">
        <v>3</v>
      </c>
      <c r="D20" s="2">
        <f>IFERROR(INDEX(Monitor!$P$18:$P$42,MATCH(B20,Monitor!$H$18:$H$42,0)),0)</f>
        <v>0</v>
      </c>
      <c r="E20" s="2">
        <v>3</v>
      </c>
    </row>
    <row r="21" spans="1:5" x14ac:dyDescent="0.3">
      <c r="A21" s="2">
        <v>81</v>
      </c>
      <c r="B21" s="2" t="s">
        <v>24</v>
      </c>
      <c r="C21" s="2">
        <v>3</v>
      </c>
      <c r="D21" s="2">
        <f>IFERROR(INDEX(Monitor!$P$18:$P$42,MATCH(B21,Monitor!$H$18:$H$42,0)),0)</f>
        <v>0</v>
      </c>
      <c r="E21" s="2">
        <v>3</v>
      </c>
    </row>
    <row r="22" spans="1:5" x14ac:dyDescent="0.3">
      <c r="A22" s="2">
        <v>82</v>
      </c>
      <c r="B22" s="2" t="s">
        <v>25</v>
      </c>
      <c r="C22" s="2">
        <v>1</v>
      </c>
      <c r="D22" s="2">
        <f>IFERROR(INDEX(Monitor!$P$18:$P$42,MATCH(B22,Monitor!$H$18:$H$42,0)),0)</f>
        <v>0</v>
      </c>
      <c r="E22" s="2">
        <v>1</v>
      </c>
    </row>
    <row r="23" spans="1:5" x14ac:dyDescent="0.3">
      <c r="A23" s="2">
        <v>83</v>
      </c>
      <c r="B23" s="2" t="s">
        <v>26</v>
      </c>
      <c r="C23" s="2">
        <v>1</v>
      </c>
      <c r="D23" s="2">
        <f>IFERROR(INDEX(Monitor!$P$18:$P$42,MATCH(B23,Monitor!$H$18:$H$42,0)),0)</f>
        <v>0</v>
      </c>
      <c r="E23" s="2">
        <v>1</v>
      </c>
    </row>
    <row r="24" spans="1:5" x14ac:dyDescent="0.3">
      <c r="A24" s="2">
        <v>84</v>
      </c>
      <c r="B24" s="2" t="s">
        <v>27</v>
      </c>
      <c r="C24" s="2">
        <v>1</v>
      </c>
      <c r="D24" s="2">
        <f>IFERROR(INDEX(Monitor!$P$18:$P$42,MATCH(B24,Monitor!$H$18:$H$42,0)),0)</f>
        <v>0</v>
      </c>
      <c r="E24" s="2">
        <v>1</v>
      </c>
    </row>
    <row r="25" spans="1:5" x14ac:dyDescent="0.3">
      <c r="A25" s="2">
        <v>85</v>
      </c>
      <c r="B25" s="2" t="s">
        <v>28</v>
      </c>
      <c r="C25" s="2">
        <v>1</v>
      </c>
      <c r="D25" s="2">
        <f>IFERROR(INDEX(Monitor!$P$18:$P$42,MATCH(B25,Monitor!$H$18:$H$42,0)),0)</f>
        <v>0</v>
      </c>
      <c r="E25" s="2">
        <v>1</v>
      </c>
    </row>
    <row r="26" spans="1:5" x14ac:dyDescent="0.3">
      <c r="A26" s="2">
        <v>86</v>
      </c>
      <c r="B26" s="2" t="s">
        <v>29</v>
      </c>
      <c r="C26" s="2">
        <v>1</v>
      </c>
      <c r="D26" s="2">
        <f>IFERROR(INDEX(Monitor!$P$18:$P$42,MATCH(B26,Monitor!$H$18:$H$42,0)),0)</f>
        <v>0</v>
      </c>
      <c r="E26" s="2">
        <v>1</v>
      </c>
    </row>
    <row r="27" spans="1:5" x14ac:dyDescent="0.3">
      <c r="A27" s="2">
        <v>87</v>
      </c>
      <c r="B27" s="2" t="s">
        <v>30</v>
      </c>
      <c r="C27" s="2">
        <v>1</v>
      </c>
      <c r="D27" s="2">
        <f>IFERROR(INDEX(Monitor!$P$18:$P$42,MATCH(B27,Monitor!$H$18:$H$42,0)),0)</f>
        <v>0</v>
      </c>
      <c r="E27" s="2">
        <v>1</v>
      </c>
    </row>
    <row r="28" spans="1:5" x14ac:dyDescent="0.3">
      <c r="A28" s="2">
        <v>88</v>
      </c>
      <c r="B28" s="2" t="s">
        <v>31</v>
      </c>
      <c r="C28" s="2">
        <v>1</v>
      </c>
      <c r="D28" s="2">
        <f>IFERROR(INDEX(Monitor!$P$18:$P$42,MATCH(B28,Monitor!$H$18:$H$42,0)),0)</f>
        <v>0</v>
      </c>
      <c r="E28" s="2">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C5461-0F81-46B4-9501-D9EB4E0EEF40}">
  <sheetPr codeName="Sheet5"/>
  <dimension ref="A1:T42"/>
  <sheetViews>
    <sheetView tabSelected="1" workbookViewId="0">
      <selection activeCell="S41" sqref="S41"/>
    </sheetView>
  </sheetViews>
  <sheetFormatPr defaultRowHeight="14.4" x14ac:dyDescent="0.3"/>
  <cols>
    <col min="1" max="1" width="12.21875" bestFit="1" customWidth="1"/>
    <col min="2" max="2" width="8.5546875" bestFit="1" customWidth="1"/>
    <col min="3" max="3" width="15.44140625" bestFit="1" customWidth="1"/>
    <col min="4" max="4" width="14.44140625" bestFit="1" customWidth="1"/>
    <col min="5" max="5" width="12" bestFit="1" customWidth="1"/>
    <col min="6" max="6" width="10.109375" bestFit="1" customWidth="1"/>
    <col min="7" max="7" width="7.6640625" bestFit="1" customWidth="1"/>
    <col min="8" max="8" width="12.21875" bestFit="1" customWidth="1"/>
    <col min="9" max="9" width="7.5546875" bestFit="1" customWidth="1"/>
    <col min="10" max="10" width="9.21875" bestFit="1" customWidth="1"/>
    <col min="11" max="11" width="14.44140625" bestFit="1" customWidth="1"/>
    <col min="12" max="12" width="9" bestFit="1" customWidth="1"/>
    <col min="13" max="13" width="5.5546875" bestFit="1" customWidth="1"/>
    <col min="14" max="14" width="6.88671875" bestFit="1" customWidth="1"/>
    <col min="15" max="15" width="7.88671875" bestFit="1" customWidth="1"/>
    <col min="16" max="16" width="12.5546875" bestFit="1" customWidth="1"/>
    <col min="17" max="17" width="9.6640625" bestFit="1" customWidth="1"/>
    <col min="18" max="18" width="10.21875" bestFit="1" customWidth="1"/>
    <col min="19" max="19" width="9.77734375" bestFit="1" customWidth="1"/>
    <col min="20" max="20" width="17.77734375" bestFit="1" customWidth="1"/>
  </cols>
  <sheetData>
    <row r="1" spans="1:20" x14ac:dyDescent="0.3">
      <c r="A1" s="3" t="s">
        <v>32</v>
      </c>
      <c r="B1" s="4" t="s">
        <v>33</v>
      </c>
      <c r="C1" s="4"/>
      <c r="D1" s="3" t="s">
        <v>34</v>
      </c>
      <c r="E1" s="3" t="s">
        <v>35</v>
      </c>
      <c r="P1" s="2"/>
      <c r="Q1" s="10" t="s">
        <v>36</v>
      </c>
      <c r="R1" s="10"/>
      <c r="S1" s="10"/>
      <c r="T1">
        <v>0</v>
      </c>
    </row>
    <row r="2" spans="1:20" x14ac:dyDescent="0.3">
      <c r="A2" s="7">
        <v>5</v>
      </c>
      <c r="B2" s="8">
        <f ca="1">TRUNC(NOW()-TIME(A2,5,0))</f>
        <v>43744</v>
      </c>
      <c r="C2" s="8"/>
      <c r="D2" s="9">
        <f ca="1">NOW()-TIME(A2,0,0)</f>
        <v>43744.88304212963</v>
      </c>
      <c r="E2" s="7">
        <f>SUM(B18:B42)+SUM(I18:I42)</f>
        <v>0</v>
      </c>
      <c r="P2" s="2"/>
      <c r="Q2" s="11" t="s">
        <v>37</v>
      </c>
      <c r="R2" s="12" t="s">
        <v>38</v>
      </c>
      <c r="S2" s="12"/>
      <c r="T2">
        <v>1</v>
      </c>
    </row>
    <row r="3" spans="1:20" x14ac:dyDescent="0.3">
      <c r="P3" s="2"/>
      <c r="Q3" s="11" t="s">
        <v>45</v>
      </c>
      <c r="R3" s="12" t="s">
        <v>46</v>
      </c>
      <c r="S3" s="12"/>
    </row>
    <row r="4" spans="1:20" x14ac:dyDescent="0.3">
      <c r="A4" s="5"/>
      <c r="B4" s="13" t="s">
        <v>39</v>
      </c>
      <c r="C4" s="13" t="s">
        <v>40</v>
      </c>
      <c r="D4" s="13" t="s">
        <v>41</v>
      </c>
      <c r="E4" s="13" t="s">
        <v>42</v>
      </c>
      <c r="F4" s="13" t="s">
        <v>43</v>
      </c>
      <c r="G4" s="13" t="s">
        <v>44</v>
      </c>
      <c r="P4" s="2"/>
      <c r="Q4" s="11" t="s">
        <v>47</v>
      </c>
      <c r="R4" s="12" t="s">
        <v>48</v>
      </c>
      <c r="S4" s="12"/>
    </row>
    <row r="5" spans="1:20" x14ac:dyDescent="0.3">
      <c r="B5" t="s">
        <v>37</v>
      </c>
      <c r="C5" s="14">
        <f ca="1">NOW()-TIME($A$2,0,0)</f>
        <v>43744.88304212963</v>
      </c>
      <c r="E5" s="15"/>
      <c r="F5" s="16"/>
      <c r="G5" s="17" t="str">
        <f>IFERROR(F5/E5,"")</f>
        <v/>
      </c>
      <c r="P5" s="2"/>
      <c r="Q5" s="11" t="s">
        <v>49</v>
      </c>
      <c r="R5" s="12" t="s">
        <v>50</v>
      </c>
      <c r="S5" s="12"/>
    </row>
    <row r="6" spans="1:20" x14ac:dyDescent="0.3">
      <c r="B6" t="s">
        <v>45</v>
      </c>
      <c r="C6" s="14">
        <f ca="1">NOW()-TIME($A$2,0,0)</f>
        <v>43744.88304212963</v>
      </c>
      <c r="E6" s="15"/>
      <c r="F6" s="16"/>
      <c r="G6" s="17" t="str">
        <f>IFERROR(F6/E6,"")</f>
        <v/>
      </c>
      <c r="P6" s="2"/>
      <c r="Q6" s="2"/>
      <c r="R6" s="2"/>
      <c r="S6" s="2"/>
    </row>
    <row r="7" spans="1:20" x14ac:dyDescent="0.3">
      <c r="B7" t="s">
        <v>47</v>
      </c>
      <c r="C7" s="14">
        <f ca="1">NOW()-TIME($A$2,0,0)</f>
        <v>43744.88304212963</v>
      </c>
      <c r="E7" s="15"/>
      <c r="F7" s="16"/>
      <c r="G7" s="17" t="str">
        <f>IFERROR(F7/E7,"")</f>
        <v/>
      </c>
      <c r="P7" s="2"/>
      <c r="Q7" s="2"/>
      <c r="R7" s="2"/>
      <c r="S7" s="2"/>
    </row>
    <row r="8" spans="1:20" x14ac:dyDescent="0.3">
      <c r="B8" t="s">
        <v>49</v>
      </c>
      <c r="C8" s="14">
        <f ca="1">NOW()-TIME($A$2,0,0)</f>
        <v>43744.88304212963</v>
      </c>
      <c r="E8" s="15"/>
      <c r="F8" s="16"/>
      <c r="G8" s="17" t="str">
        <f>IFERROR(F8/E8,"")</f>
        <v/>
      </c>
      <c r="P8" s="2"/>
      <c r="Q8" s="2"/>
      <c r="R8" s="2"/>
      <c r="S8" s="2"/>
    </row>
    <row r="9" spans="1:20" x14ac:dyDescent="0.3">
      <c r="B9" t="s">
        <v>51</v>
      </c>
      <c r="C9" s="18">
        <f ca="1">NOW()-TIME($A$2,0,0)</f>
        <v>43744.88304212963</v>
      </c>
      <c r="E9" s="15">
        <f>SUBTOTAL(109,E5:E8)</f>
        <v>0</v>
      </c>
      <c r="F9" s="16">
        <f>SUBTOTAL(109,F5:F8)</f>
        <v>0</v>
      </c>
      <c r="G9" s="17" t="str">
        <f>IFERROR(F9/E9,"")</f>
        <v/>
      </c>
      <c r="P9" s="2"/>
      <c r="Q9" s="2"/>
      <c r="R9" s="2"/>
      <c r="S9" s="2"/>
    </row>
    <row r="10" spans="1:20" x14ac:dyDescent="0.3">
      <c r="J10" s="19"/>
      <c r="P10" s="2"/>
      <c r="Q10" s="2"/>
      <c r="R10" s="2"/>
      <c r="S10" s="2"/>
    </row>
    <row r="11" spans="1:20" x14ac:dyDescent="0.3">
      <c r="A11" s="5"/>
      <c r="D11" s="20"/>
      <c r="E11" s="21"/>
      <c r="P11" s="2"/>
      <c r="Q11" s="2"/>
      <c r="R11" s="2"/>
      <c r="S11" s="2"/>
    </row>
    <row r="12" spans="1:20" x14ac:dyDescent="0.3">
      <c r="A12" s="5"/>
      <c r="D12" s="20"/>
      <c r="E12" s="21"/>
      <c r="P12" s="2"/>
      <c r="Q12" s="2"/>
      <c r="R12" s="2"/>
      <c r="S12" s="2"/>
    </row>
    <row r="13" spans="1:20" x14ac:dyDescent="0.3">
      <c r="A13" s="5"/>
      <c r="D13" s="20"/>
      <c r="E13" s="21"/>
      <c r="P13" s="2"/>
      <c r="Q13" s="2"/>
      <c r="R13" s="2"/>
      <c r="S13" s="2"/>
    </row>
    <row r="14" spans="1:20" x14ac:dyDescent="0.3">
      <c r="A14" s="31" t="s">
        <v>52</v>
      </c>
      <c r="B14" s="22">
        <v>0</v>
      </c>
      <c r="H14" s="31" t="s">
        <v>52</v>
      </c>
      <c r="I14" s="22">
        <v>1</v>
      </c>
      <c r="P14" s="2"/>
      <c r="Q14" s="2"/>
      <c r="R14" s="2"/>
      <c r="S14" s="2"/>
    </row>
    <row r="15" spans="1:20" x14ac:dyDescent="0.3">
      <c r="A15" s="23" t="s">
        <v>53</v>
      </c>
      <c r="B15" s="23"/>
      <c r="C15" s="23"/>
      <c r="D15" s="23"/>
      <c r="E15" s="23"/>
      <c r="H15" s="24" t="s">
        <v>54</v>
      </c>
      <c r="I15" s="24"/>
      <c r="J15" s="24"/>
      <c r="K15" s="24"/>
      <c r="L15" s="24"/>
      <c r="M15" s="42"/>
      <c r="N15" s="42"/>
      <c r="P15" s="2"/>
      <c r="Q15" s="2"/>
      <c r="R15" s="2"/>
      <c r="S15" s="2"/>
    </row>
    <row r="16" spans="1:20" x14ac:dyDescent="0.3">
      <c r="A16" s="6"/>
      <c r="B16" s="6" t="s">
        <v>55</v>
      </c>
      <c r="C16" s="6"/>
      <c r="D16" s="6"/>
      <c r="E16" s="25"/>
      <c r="H16" s="6"/>
      <c r="I16" s="6" t="s">
        <v>55</v>
      </c>
      <c r="J16" s="6"/>
      <c r="K16" s="6"/>
      <c r="L16" s="25"/>
      <c r="M16" s="43"/>
      <c r="N16" s="43"/>
      <c r="P16" s="2"/>
      <c r="Q16" s="2"/>
      <c r="R16" s="2"/>
      <c r="S16" s="2"/>
    </row>
    <row r="17" spans="1:20" x14ac:dyDescent="0.3">
      <c r="A17" s="35" t="s">
        <v>1</v>
      </c>
      <c r="B17" s="35" t="s">
        <v>42</v>
      </c>
      <c r="C17" s="36" t="s">
        <v>56</v>
      </c>
      <c r="D17" s="36" t="s">
        <v>57</v>
      </c>
      <c r="E17" s="37" t="s">
        <v>58</v>
      </c>
      <c r="F17" s="38"/>
      <c r="G17" s="39"/>
      <c r="H17" s="32" t="s">
        <v>1</v>
      </c>
      <c r="I17" s="32" t="s">
        <v>42</v>
      </c>
      <c r="J17" s="33" t="s">
        <v>59</v>
      </c>
      <c r="K17" s="33" t="s">
        <v>57</v>
      </c>
      <c r="L17" s="34" t="s">
        <v>58</v>
      </c>
      <c r="M17" s="34" t="s">
        <v>62</v>
      </c>
      <c r="N17" s="34" t="s">
        <v>70</v>
      </c>
      <c r="O17" s="26" t="s">
        <v>69</v>
      </c>
      <c r="P17" s="34" t="s">
        <v>60</v>
      </c>
      <c r="Q17" s="26" t="s">
        <v>4</v>
      </c>
      <c r="R17" s="26" t="s">
        <v>2</v>
      </c>
      <c r="S17" s="26" t="s">
        <v>72</v>
      </c>
      <c r="T17" s="26" t="s">
        <v>71</v>
      </c>
    </row>
    <row r="18" spans="1:20" x14ac:dyDescent="0.3">
      <c r="A18" s="27" t="s">
        <v>5</v>
      </c>
      <c r="B18" s="6">
        <v>0</v>
      </c>
      <c r="C18" s="28">
        <v>0</v>
      </c>
      <c r="D18" s="28">
        <v>0</v>
      </c>
      <c r="E18" s="29">
        <f>INDEX(Price!$B:$B,MATCH(A18,Price!$A:$A,0))</f>
        <v>0.67242999999999997</v>
      </c>
      <c r="F18" s="30">
        <f>IF(B18=0,0,C18-E18)*IF(M18=5,100000,1000)</f>
        <v>0</v>
      </c>
      <c r="G18" s="30">
        <f>IF(I18=0,0,L18-J18)*IF(M18=5,100000,1000)</f>
        <v>0</v>
      </c>
      <c r="H18" s="27" t="s">
        <v>5</v>
      </c>
      <c r="I18" s="6">
        <v>0</v>
      </c>
      <c r="J18" s="28">
        <v>0</v>
      </c>
      <c r="K18" s="6">
        <v>0</v>
      </c>
      <c r="L18" s="29">
        <f>INDEX(Price!$B:$B,MATCH(H18,Price!$A:$A,0))</f>
        <v>0.67242999999999997</v>
      </c>
      <c r="M18" s="29">
        <v>5</v>
      </c>
      <c r="N18" s="29">
        <v>50</v>
      </c>
      <c r="O18" s="48">
        <f>INDEX(Sheet1!E:E,MATCH(H18,Sheet1!B:B,0))</f>
        <v>5</v>
      </c>
      <c r="P18" s="48">
        <v>25</v>
      </c>
      <c r="Q18" s="2"/>
      <c r="R18" s="2"/>
      <c r="S18" s="2">
        <v>1</v>
      </c>
      <c r="T18">
        <v>0</v>
      </c>
    </row>
    <row r="19" spans="1:20" x14ac:dyDescent="0.3">
      <c r="A19" s="27" t="s">
        <v>6</v>
      </c>
      <c r="B19" s="6">
        <v>0</v>
      </c>
      <c r="C19" s="28">
        <v>0</v>
      </c>
      <c r="D19" s="28">
        <v>0</v>
      </c>
      <c r="E19" s="29">
        <f>INDEX(Price!$B:$B,MATCH(A19,Price!$A:$A,0))</f>
        <v>98.664000000000001</v>
      </c>
      <c r="F19" s="30">
        <f>IF(B19=0,0,C19-E19)*IF(M19=5,100000,1000)</f>
        <v>0</v>
      </c>
      <c r="G19" s="30">
        <f>IF(I19=0,0,L19-J19)*IF(M19=5,100000,1000)</f>
        <v>0</v>
      </c>
      <c r="H19" s="27" t="s">
        <v>6</v>
      </c>
      <c r="I19" s="6">
        <v>0</v>
      </c>
      <c r="J19" s="28">
        <v>0</v>
      </c>
      <c r="K19" s="6">
        <v>0</v>
      </c>
      <c r="L19" s="29">
        <f>INDEX(Price!$B:$B,MATCH(H19,Price!$A:$A,0))</f>
        <v>98.664000000000001</v>
      </c>
      <c r="M19" s="29">
        <v>3</v>
      </c>
      <c r="N19" s="29">
        <v>30</v>
      </c>
      <c r="O19" s="48">
        <f>INDEX(Sheet1!E:E,MATCH(H19,Sheet1!B:B,0))</f>
        <v>3</v>
      </c>
      <c r="P19" s="48">
        <v>15</v>
      </c>
      <c r="Q19" s="2"/>
      <c r="R19" s="2"/>
      <c r="S19" s="2">
        <v>2</v>
      </c>
      <c r="T19">
        <v>0</v>
      </c>
    </row>
    <row r="20" spans="1:20" x14ac:dyDescent="0.3">
      <c r="A20" s="27" t="s">
        <v>11</v>
      </c>
      <c r="B20" s="6">
        <v>0</v>
      </c>
      <c r="C20" s="28">
        <v>0</v>
      </c>
      <c r="D20" s="28">
        <v>0</v>
      </c>
      <c r="E20" s="29">
        <f>INDEX(Price!$B:$B,MATCH(A20,Price!$A:$A,0))</f>
        <v>0.88046999999999997</v>
      </c>
      <c r="F20" s="30">
        <f>IF(B20=0,0,C20-E20)*IF(M20=5,100000,1000)</f>
        <v>0</v>
      </c>
      <c r="G20" s="30">
        <f>IF(I20=0,0,L20-J20)*IF(M20=5,100000,1000)</f>
        <v>0</v>
      </c>
      <c r="H20" s="27" t="s">
        <v>11</v>
      </c>
      <c r="I20" s="6">
        <v>0</v>
      </c>
      <c r="J20" s="28">
        <v>0</v>
      </c>
      <c r="K20" s="6">
        <v>0</v>
      </c>
      <c r="L20" s="29">
        <f>INDEX(Price!$B:$B,MATCH(H20,Price!$A:$A,0))</f>
        <v>0.88046999999999997</v>
      </c>
      <c r="M20" s="29">
        <v>5</v>
      </c>
      <c r="N20" s="29">
        <v>30</v>
      </c>
      <c r="O20" s="48">
        <f>INDEX(Sheet1!E:E,MATCH(H20,Sheet1!B:B,0))</f>
        <v>3</v>
      </c>
      <c r="P20" s="48">
        <v>3</v>
      </c>
      <c r="Q20" s="2"/>
      <c r="R20" s="2"/>
      <c r="S20" s="2">
        <v>3</v>
      </c>
      <c r="T20">
        <v>0</v>
      </c>
    </row>
    <row r="21" spans="1:20" x14ac:dyDescent="0.3">
      <c r="A21" s="27" t="s">
        <v>18</v>
      </c>
      <c r="B21" s="6">
        <v>0</v>
      </c>
      <c r="C21" s="28">
        <v>0</v>
      </c>
      <c r="D21" s="28">
        <v>0</v>
      </c>
      <c r="E21" s="29">
        <f>INDEX(Price!$B:$B,MATCH(A21,Price!$A:$A,0))</f>
        <v>72.382000000000005</v>
      </c>
      <c r="F21" s="30">
        <f>IF(B21=0,0,C21-E21)*IF(M21=5,100000,1000)</f>
        <v>0</v>
      </c>
      <c r="G21" s="30">
        <f>IF(I21=0,0,L21-J21)*IF(M21=5,100000,1000)</f>
        <v>0</v>
      </c>
      <c r="H21" s="27" t="s">
        <v>18</v>
      </c>
      <c r="I21" s="6">
        <v>0</v>
      </c>
      <c r="J21" s="28">
        <v>0</v>
      </c>
      <c r="K21" s="6">
        <v>0</v>
      </c>
      <c r="L21" s="29">
        <f>INDEX(Price!$B:$B,MATCH(H21,Price!$A:$A,0))</f>
        <v>72.382000000000005</v>
      </c>
      <c r="M21" s="29">
        <v>3</v>
      </c>
      <c r="N21" s="29">
        <v>6</v>
      </c>
      <c r="O21" s="48">
        <f>INDEX(Sheet1!E:E,MATCH(H21,Sheet1!B:B,0))</f>
        <v>1</v>
      </c>
      <c r="P21" s="48">
        <v>8</v>
      </c>
      <c r="Q21" s="2"/>
      <c r="R21" s="2"/>
      <c r="S21" s="2">
        <v>4</v>
      </c>
      <c r="T21" s="49">
        <v>1</v>
      </c>
    </row>
    <row r="22" spans="1:20" x14ac:dyDescent="0.3">
      <c r="A22" s="27" t="s">
        <v>19</v>
      </c>
      <c r="B22" s="6">
        <v>0</v>
      </c>
      <c r="C22" s="28">
        <v>0</v>
      </c>
      <c r="D22" s="28">
        <v>0</v>
      </c>
      <c r="E22" s="29">
        <f>INDEX(Price!$B:$B,MATCH(A22,Price!$A:$A,0))</f>
        <v>0.67710000000000004</v>
      </c>
      <c r="F22" s="30">
        <f>IF(B22=0,0,C22-E22)*IF(M22=5,100000,1000)</f>
        <v>0</v>
      </c>
      <c r="G22" s="30">
        <f>IF(I22=0,0,L22-J22)*IF(M22=5,100000,1000)</f>
        <v>0</v>
      </c>
      <c r="H22" s="27" t="s">
        <v>19</v>
      </c>
      <c r="I22" s="6">
        <v>0</v>
      </c>
      <c r="J22" s="28">
        <v>0</v>
      </c>
      <c r="K22" s="6">
        <v>0</v>
      </c>
      <c r="L22" s="29">
        <f>INDEX(Price!$B:$B,MATCH(H22,Price!$A:$A,0))</f>
        <v>0.67710000000000004</v>
      </c>
      <c r="M22" s="29">
        <v>5</v>
      </c>
      <c r="N22" s="29">
        <v>6</v>
      </c>
      <c r="O22" s="48">
        <f>INDEX(Sheet1!E:E,MATCH(H22,Sheet1!B:B,0))</f>
        <v>1</v>
      </c>
      <c r="P22" s="48">
        <v>0</v>
      </c>
      <c r="Q22" s="2"/>
      <c r="R22" s="2"/>
      <c r="S22" s="2">
        <v>5</v>
      </c>
      <c r="T22" s="49">
        <v>1</v>
      </c>
    </row>
    <row r="23" spans="1:20" x14ac:dyDescent="0.3">
      <c r="A23" s="27" t="s">
        <v>12</v>
      </c>
      <c r="B23" s="6">
        <v>0</v>
      </c>
      <c r="C23" s="28">
        <v>0</v>
      </c>
      <c r="D23" s="28">
        <v>0</v>
      </c>
      <c r="E23" s="29">
        <f>INDEX(Price!$B:$B,MATCH(A23,Price!$A:$A,0))</f>
        <v>0.70323999999999998</v>
      </c>
      <c r="F23" s="30">
        <f>IF(B23=0,0,C23-E23)*IF(M23=5,100000,1000)</f>
        <v>0</v>
      </c>
      <c r="G23" s="30">
        <f>IF(I23=0,0,L23-J23)*IF(M23=5,100000,1000)</f>
        <v>0</v>
      </c>
      <c r="H23" s="27" t="s">
        <v>12</v>
      </c>
      <c r="I23" s="6">
        <v>0</v>
      </c>
      <c r="J23" s="28">
        <v>0</v>
      </c>
      <c r="K23" s="6">
        <v>0</v>
      </c>
      <c r="L23" s="29">
        <f>INDEX(Price!$B:$B,MATCH(H23,Price!$A:$A,0))</f>
        <v>0.70323999999999998</v>
      </c>
      <c r="M23" s="29">
        <v>5</v>
      </c>
      <c r="N23" s="29">
        <v>50</v>
      </c>
      <c r="O23" s="48">
        <f>INDEX(Sheet1!E:E,MATCH(H23,Sheet1!B:B,0))</f>
        <v>3</v>
      </c>
      <c r="P23" s="48">
        <v>0</v>
      </c>
      <c r="Q23" s="2"/>
      <c r="R23" s="2"/>
      <c r="S23" s="2">
        <v>6</v>
      </c>
      <c r="T23" s="49">
        <v>0</v>
      </c>
    </row>
    <row r="24" spans="1:20" x14ac:dyDescent="0.3">
      <c r="A24" s="27" t="s">
        <v>13</v>
      </c>
      <c r="B24" s="6">
        <v>0</v>
      </c>
      <c r="C24" s="28">
        <v>0</v>
      </c>
      <c r="D24" s="28">
        <v>0</v>
      </c>
      <c r="E24" s="29">
        <f>INDEX(Price!$B:$B,MATCH(A24,Price!$A:$A,0))</f>
        <v>1.02152</v>
      </c>
      <c r="F24" s="30">
        <f>IF(B24=0,0,C24-E24)*IF(M24=5,100000,1000)</f>
        <v>0</v>
      </c>
      <c r="G24" s="30">
        <f>IF(I24=0,0,L24-J24)*IF(M24=5,100000,1000)</f>
        <v>0</v>
      </c>
      <c r="H24" s="27" t="s">
        <v>13</v>
      </c>
      <c r="I24" s="6">
        <v>0</v>
      </c>
      <c r="J24" s="28">
        <v>0</v>
      </c>
      <c r="K24" s="6">
        <v>0</v>
      </c>
      <c r="L24" s="29">
        <f>INDEX(Price!$B:$B,MATCH(H24,Price!$A:$A,0))</f>
        <v>1.02152</v>
      </c>
      <c r="M24" s="29">
        <v>5</v>
      </c>
      <c r="N24" s="29">
        <v>50</v>
      </c>
      <c r="O24" s="48">
        <f>INDEX(Sheet1!E:E,MATCH(H24,Sheet1!B:B,0))</f>
        <v>3</v>
      </c>
      <c r="P24" s="48">
        <v>12</v>
      </c>
      <c r="Q24" s="2"/>
      <c r="R24" s="2"/>
      <c r="S24" s="2">
        <v>7</v>
      </c>
      <c r="T24" s="49">
        <v>0</v>
      </c>
    </row>
    <row r="25" spans="1:20" x14ac:dyDescent="0.3">
      <c r="A25" s="27" t="s">
        <v>8</v>
      </c>
      <c r="B25" s="6">
        <v>0</v>
      </c>
      <c r="C25" s="28">
        <v>0</v>
      </c>
      <c r="D25" s="28">
        <v>0</v>
      </c>
      <c r="E25" s="29">
        <f>INDEX(Price!$B:$B,MATCH(A25,Price!$A:$A,0))</f>
        <v>14.615539999999999</v>
      </c>
      <c r="F25" s="30">
        <f>IF(B25=0,0,C25-E25)*IF(M25=5,100000,1000)</f>
        <v>0</v>
      </c>
      <c r="G25" s="30">
        <f>IF(I25=0,0,L25-J25)*IF(M25=5,100000,1000)</f>
        <v>0</v>
      </c>
      <c r="H25" s="27" t="s">
        <v>8</v>
      </c>
      <c r="I25" s="6">
        <v>0</v>
      </c>
      <c r="J25" s="28">
        <v>0</v>
      </c>
      <c r="K25" s="6">
        <v>0</v>
      </c>
      <c r="L25" s="29">
        <f>INDEX(Price!$B:$B,MATCH(H25,Price!$A:$A,0))</f>
        <v>14.615539999999999</v>
      </c>
      <c r="M25" s="29">
        <v>5</v>
      </c>
      <c r="N25" s="29">
        <v>500</v>
      </c>
      <c r="O25" s="48">
        <f>INDEX(Sheet1!E:E,MATCH(H25,Sheet1!B:B,0))</f>
        <v>100</v>
      </c>
      <c r="P25" s="48">
        <v>0</v>
      </c>
      <c r="Q25" s="2"/>
      <c r="R25" s="2"/>
      <c r="S25" s="2">
        <v>8</v>
      </c>
      <c r="T25" s="49">
        <v>0</v>
      </c>
    </row>
    <row r="26" spans="1:20" x14ac:dyDescent="0.3">
      <c r="A26" s="27" t="s">
        <v>14</v>
      </c>
      <c r="B26" s="6">
        <v>0</v>
      </c>
      <c r="C26" s="28">
        <v>0</v>
      </c>
      <c r="D26" s="28">
        <v>0</v>
      </c>
      <c r="E26" s="29">
        <f>INDEX(Price!$B:$B,MATCH(A26,Price!$A:$A,0))</f>
        <v>1.03108</v>
      </c>
      <c r="F26" s="30">
        <f>IF(B26=0,0,C26-E26)*IF(M26=5,100000,1000)</f>
        <v>0</v>
      </c>
      <c r="G26" s="30">
        <f>IF(I26=0,0,L26-J26)*IF(M26=5,100000,1000)</f>
        <v>0</v>
      </c>
      <c r="H26" s="27" t="s">
        <v>14</v>
      </c>
      <c r="I26" s="6">
        <v>0</v>
      </c>
      <c r="J26" s="28">
        <v>0</v>
      </c>
      <c r="K26" s="6">
        <v>0</v>
      </c>
      <c r="L26" s="29">
        <f>INDEX(Price!$B:$B,MATCH(H26,Price!$A:$A,0))</f>
        <v>1.03108</v>
      </c>
      <c r="M26" s="29">
        <v>5</v>
      </c>
      <c r="N26" s="29">
        <v>50</v>
      </c>
      <c r="O26" s="48">
        <f>INDEX(Sheet1!E:E,MATCH(H26,Sheet1!B:B,0))</f>
        <v>3</v>
      </c>
      <c r="P26" s="48">
        <v>0</v>
      </c>
      <c r="Q26" s="2"/>
      <c r="R26" s="2"/>
      <c r="S26" s="2">
        <v>9</v>
      </c>
      <c r="T26" s="49">
        <v>0</v>
      </c>
    </row>
    <row r="27" spans="1:20" x14ac:dyDescent="0.3">
      <c r="A27" s="27" t="s">
        <v>20</v>
      </c>
      <c r="B27" s="6">
        <v>0</v>
      </c>
      <c r="C27" s="28">
        <v>0</v>
      </c>
      <c r="D27" s="28">
        <v>0</v>
      </c>
      <c r="E27" s="29">
        <f>INDEX(Price!$B:$B,MATCH(A27,Price!$A:$A,0))</f>
        <v>0.88995999999999997</v>
      </c>
      <c r="F27" s="30">
        <f>IF(B27=0,0,C27-E27)*IF(M27=5,100000,1000)</f>
        <v>0</v>
      </c>
      <c r="G27" s="30">
        <f>IF(I27=0,0,L27-J27)*IF(M27=5,100000,1000)</f>
        <v>0</v>
      </c>
      <c r="H27" s="27" t="s">
        <v>20</v>
      </c>
      <c r="I27" s="6">
        <v>0</v>
      </c>
      <c r="J27" s="28">
        <v>0</v>
      </c>
      <c r="K27" s="6">
        <v>0</v>
      </c>
      <c r="L27" s="29">
        <f>INDEX(Price!$B:$B,MATCH(H27,Price!$A:$A,0))</f>
        <v>0.88995999999999997</v>
      </c>
      <c r="M27" s="29">
        <v>5</v>
      </c>
      <c r="N27" s="29">
        <v>6</v>
      </c>
      <c r="O27" s="48">
        <f>INDEX(Sheet1!E:E,MATCH(H27,Sheet1!B:B,0))</f>
        <v>1</v>
      </c>
      <c r="P27" s="48">
        <v>0</v>
      </c>
      <c r="Q27" s="2"/>
      <c r="R27" s="2"/>
      <c r="S27" s="2">
        <v>10</v>
      </c>
      <c r="T27" s="49">
        <v>1</v>
      </c>
    </row>
    <row r="28" spans="1:20" x14ac:dyDescent="0.3">
      <c r="A28" s="27" t="s">
        <v>21</v>
      </c>
      <c r="B28" s="6">
        <v>0</v>
      </c>
      <c r="C28" s="28">
        <v>0</v>
      </c>
      <c r="D28" s="28">
        <v>0</v>
      </c>
      <c r="E28" s="29">
        <f>INDEX(Price!$B:$B,MATCH(A28,Price!$A:$A,0))</f>
        <v>117.38500000000001</v>
      </c>
      <c r="F28" s="30">
        <f>IF(B28=0,0,C28-E28)*IF(M28=5,100000,1000)</f>
        <v>0</v>
      </c>
      <c r="G28" s="30">
        <f>IF(I28=0,0,L28-J28)*IF(M28=5,100000,1000)</f>
        <v>0</v>
      </c>
      <c r="H28" s="27" t="s">
        <v>21</v>
      </c>
      <c r="I28" s="6">
        <v>0</v>
      </c>
      <c r="J28" s="28">
        <v>0</v>
      </c>
      <c r="K28" s="6">
        <v>0</v>
      </c>
      <c r="L28" s="29">
        <f>INDEX(Price!$B:$B,MATCH(H28,Price!$A:$A,0))</f>
        <v>117.38500000000001</v>
      </c>
      <c r="M28" s="29">
        <v>3</v>
      </c>
      <c r="N28" s="29">
        <v>6</v>
      </c>
      <c r="O28" s="48">
        <f>INDEX(Sheet1!E:E,MATCH(H28,Sheet1!B:B,0))</f>
        <v>1</v>
      </c>
      <c r="P28" s="48">
        <v>0</v>
      </c>
      <c r="Q28" s="2"/>
      <c r="R28" s="2"/>
      <c r="S28" s="2">
        <v>11</v>
      </c>
      <c r="T28" s="49">
        <v>1</v>
      </c>
    </row>
    <row r="29" spans="1:20" x14ac:dyDescent="0.3">
      <c r="A29" s="27" t="s">
        <v>7</v>
      </c>
      <c r="B29" s="6">
        <v>0</v>
      </c>
      <c r="C29" s="28">
        <v>0</v>
      </c>
      <c r="D29" s="28">
        <v>0</v>
      </c>
      <c r="E29" s="29">
        <f>INDEX(Price!$B:$B,MATCH(A29,Price!$A:$A,0))</f>
        <v>1.5110699999999999</v>
      </c>
      <c r="F29" s="30">
        <f>IF(B29=0,0,C29-E29)*IF(M29=5,100000,1000)</f>
        <v>0</v>
      </c>
      <c r="G29" s="30">
        <f>IF(I29=0,0,L29-J29)*IF(M29=5,100000,1000)</f>
        <v>0</v>
      </c>
      <c r="H29" s="27" t="s">
        <v>7</v>
      </c>
      <c r="I29" s="6">
        <v>0</v>
      </c>
      <c r="J29" s="28">
        <v>0</v>
      </c>
      <c r="K29" s="6">
        <v>0</v>
      </c>
      <c r="L29" s="29">
        <f>INDEX(Price!$B:$B,MATCH(H29,Price!$A:$A,0))</f>
        <v>1.5110699999999999</v>
      </c>
      <c r="M29" s="29">
        <v>5</v>
      </c>
      <c r="N29" s="29">
        <v>50</v>
      </c>
      <c r="O29" s="48">
        <f>INDEX(Sheet1!E:E,MATCH(H29,Sheet1!B:B,0))</f>
        <v>3</v>
      </c>
      <c r="P29" s="48">
        <v>3</v>
      </c>
      <c r="Q29" s="2"/>
      <c r="R29" s="2"/>
      <c r="S29" s="2">
        <v>12</v>
      </c>
      <c r="T29" s="49">
        <v>0</v>
      </c>
    </row>
    <row r="30" spans="1:20" x14ac:dyDescent="0.3">
      <c r="A30" s="27" t="s">
        <v>22</v>
      </c>
      <c r="B30" s="6">
        <v>0</v>
      </c>
      <c r="C30" s="28">
        <v>0</v>
      </c>
      <c r="D30" s="28">
        <v>0</v>
      </c>
      <c r="E30" s="29">
        <f>INDEX(Price!$B:$B,MATCH(A30,Price!$A:$A,0))</f>
        <v>1.0978699999999999</v>
      </c>
      <c r="F30" s="30">
        <f>IF(B30=0,0,C30-E30)*IF(M30=5,100000,1000)</f>
        <v>0</v>
      </c>
      <c r="G30" s="30">
        <f>IF(I30=0,0,L30-J30)*IF(M30=5,100000,1000)</f>
        <v>0</v>
      </c>
      <c r="H30" s="27" t="s">
        <v>22</v>
      </c>
      <c r="I30" s="6">
        <v>0</v>
      </c>
      <c r="J30" s="28">
        <v>0</v>
      </c>
      <c r="K30" s="6">
        <v>0</v>
      </c>
      <c r="L30" s="29">
        <f>INDEX(Price!$B:$B,MATCH(H30,Price!$A:$A,0))</f>
        <v>1.0978699999999999</v>
      </c>
      <c r="M30" s="29">
        <v>5</v>
      </c>
      <c r="N30" s="29">
        <v>6</v>
      </c>
      <c r="O30" s="48">
        <f>INDEX(Sheet1!E:E,MATCH(H30,Sheet1!B:B,0))</f>
        <v>1</v>
      </c>
      <c r="P30" s="48">
        <v>0</v>
      </c>
      <c r="Q30" s="2"/>
      <c r="R30" s="2"/>
      <c r="S30" s="2">
        <v>13</v>
      </c>
      <c r="T30" s="49">
        <v>1</v>
      </c>
    </row>
    <row r="31" spans="1:20" x14ac:dyDescent="0.3">
      <c r="A31" s="27" t="s">
        <v>9</v>
      </c>
      <c r="B31" s="6">
        <v>0</v>
      </c>
      <c r="C31" s="28">
        <v>0</v>
      </c>
      <c r="D31" s="28">
        <v>0</v>
      </c>
      <c r="E31" s="29">
        <f>INDEX(Price!$B:$B,MATCH(A31,Price!$A:$A,0))</f>
        <v>5.2187799999999998</v>
      </c>
      <c r="F31" s="30">
        <f>IF(B31=0,0,C31-E31)*IF(M31=5,100000,1000)</f>
        <v>0</v>
      </c>
      <c r="G31" s="30">
        <f>IF(I31=0,0,L31-J31)*IF(M31=5,100000,1000)</f>
        <v>0</v>
      </c>
      <c r="H31" s="27" t="s">
        <v>9</v>
      </c>
      <c r="I31" s="6">
        <v>0</v>
      </c>
      <c r="J31" s="28">
        <v>0</v>
      </c>
      <c r="K31" s="6">
        <v>0</v>
      </c>
      <c r="L31" s="29">
        <f>INDEX(Price!$B:$B,MATCH(H31,Price!$A:$A,0))</f>
        <v>5.2187799999999998</v>
      </c>
      <c r="M31" s="29">
        <v>5</v>
      </c>
      <c r="N31" s="29">
        <v>500</v>
      </c>
      <c r="O31" s="48">
        <f>INDEX(Sheet1!E:E,MATCH(H31,Sheet1!B:B,0))</f>
        <v>100</v>
      </c>
      <c r="P31" s="48">
        <v>0</v>
      </c>
      <c r="Q31" s="2"/>
      <c r="R31" s="2"/>
      <c r="S31" s="2">
        <v>14</v>
      </c>
      <c r="T31" s="49">
        <v>0</v>
      </c>
    </row>
    <row r="32" spans="1:20" x14ac:dyDescent="0.3">
      <c r="A32" s="27" t="s">
        <v>15</v>
      </c>
      <c r="B32" s="6">
        <v>0</v>
      </c>
      <c r="C32" s="28">
        <v>0</v>
      </c>
      <c r="D32" s="28">
        <v>0</v>
      </c>
      <c r="E32" s="29">
        <f>INDEX(Price!$B:$B,MATCH(A32,Price!$A:$A,0))</f>
        <v>1.1746700000000001</v>
      </c>
      <c r="F32" s="30">
        <f>IF(B32=0,0,C32-E32)*IF(M32=5,100000,1000)</f>
        <v>0</v>
      </c>
      <c r="G32" s="30">
        <f>IF(I32=0,0,L32-J32)*IF(M32=5,100000,1000)</f>
        <v>0</v>
      </c>
      <c r="H32" s="27" t="s">
        <v>15</v>
      </c>
      <c r="I32" s="6">
        <v>0</v>
      </c>
      <c r="J32" s="28">
        <v>0</v>
      </c>
      <c r="K32" s="6">
        <v>0</v>
      </c>
      <c r="L32" s="29">
        <f>INDEX(Price!$B:$B,MATCH(H32,Price!$A:$A,0))</f>
        <v>1.1746700000000001</v>
      </c>
      <c r="M32" s="29">
        <v>5</v>
      </c>
      <c r="N32" s="29">
        <v>30</v>
      </c>
      <c r="O32" s="48">
        <f>INDEX(Sheet1!E:E,MATCH(H32,Sheet1!B:B,0))</f>
        <v>3</v>
      </c>
      <c r="P32" s="48">
        <v>-3</v>
      </c>
      <c r="Q32" s="2"/>
      <c r="R32" s="2"/>
      <c r="S32" s="2">
        <v>15</v>
      </c>
      <c r="T32" s="49">
        <v>0</v>
      </c>
    </row>
    <row r="33" spans="1:20" x14ac:dyDescent="0.3">
      <c r="A33" s="27" t="s">
        <v>23</v>
      </c>
      <c r="B33" s="6">
        <v>0</v>
      </c>
      <c r="C33" s="28">
        <v>0</v>
      </c>
      <c r="D33" s="28">
        <v>0</v>
      </c>
      <c r="E33" s="29">
        <f>INDEX(Price!$B:$B,MATCH(A33,Price!$A:$A,0))</f>
        <v>131.899</v>
      </c>
      <c r="F33" s="30">
        <f>IF(B33=0,0,C33-E33)*IF(M33=5,100000,1000)</f>
        <v>0</v>
      </c>
      <c r="G33" s="30">
        <f>IF(I33=0,0,L33-J33)*IF(M33=5,100000,1000)</f>
        <v>0</v>
      </c>
      <c r="H33" s="27" t="s">
        <v>23</v>
      </c>
      <c r="I33" s="6">
        <v>0</v>
      </c>
      <c r="J33" s="28">
        <v>0</v>
      </c>
      <c r="K33" s="6">
        <v>0</v>
      </c>
      <c r="L33" s="29">
        <f>INDEX(Price!$B:$B,MATCH(H33,Price!$A:$A,0))</f>
        <v>131.899</v>
      </c>
      <c r="M33" s="29">
        <v>3</v>
      </c>
      <c r="N33" s="29">
        <v>9</v>
      </c>
      <c r="O33" s="48">
        <f>INDEX(Sheet1!E:E,MATCH(H33,Sheet1!B:B,0))</f>
        <v>3</v>
      </c>
      <c r="P33" s="48">
        <v>0</v>
      </c>
      <c r="Q33" s="2"/>
      <c r="R33" s="2"/>
      <c r="S33" s="2">
        <v>16</v>
      </c>
      <c r="T33" s="49">
        <v>1</v>
      </c>
    </row>
    <row r="34" spans="1:20" x14ac:dyDescent="0.3">
      <c r="A34" s="27" t="s">
        <v>24</v>
      </c>
      <c r="B34" s="6">
        <v>0</v>
      </c>
      <c r="C34" s="28">
        <v>0</v>
      </c>
      <c r="D34" s="28">
        <v>0</v>
      </c>
      <c r="E34" s="29">
        <f>INDEX(Price!$B:$B,MATCH(A34,Price!$A:$A,0))</f>
        <v>1.2340100000000001</v>
      </c>
      <c r="F34" s="30">
        <f>IF(B34=0,0,C34-E34)*IF(M34=5,100000,1000)</f>
        <v>0</v>
      </c>
      <c r="G34" s="30">
        <f>IF(I34=0,0,L34-J34)*IF(M34=5,100000,1000)</f>
        <v>0</v>
      </c>
      <c r="H34" s="27" t="s">
        <v>24</v>
      </c>
      <c r="I34" s="6">
        <v>0</v>
      </c>
      <c r="J34" s="28">
        <v>0</v>
      </c>
      <c r="K34" s="6">
        <v>0</v>
      </c>
      <c r="L34" s="29">
        <f>INDEX(Price!$B:$B,MATCH(H34,Price!$A:$A,0))</f>
        <v>1.2340100000000001</v>
      </c>
      <c r="M34" s="29">
        <v>5</v>
      </c>
      <c r="N34" s="29">
        <v>9</v>
      </c>
      <c r="O34" s="48">
        <f>INDEX(Sheet1!E:E,MATCH(H34,Sheet1!B:B,0))</f>
        <v>3</v>
      </c>
      <c r="P34" s="48">
        <v>0</v>
      </c>
      <c r="Q34" s="2"/>
      <c r="R34" s="2"/>
      <c r="S34" s="2">
        <v>17</v>
      </c>
      <c r="T34" s="49">
        <v>1</v>
      </c>
    </row>
    <row r="35" spans="1:20" x14ac:dyDescent="0.3">
      <c r="A35" s="27" t="s">
        <v>16</v>
      </c>
      <c r="B35" s="6">
        <v>0</v>
      </c>
      <c r="C35" s="28">
        <v>0</v>
      </c>
      <c r="D35" s="28">
        <v>0</v>
      </c>
      <c r="E35" s="29">
        <f>INDEX(Price!$B:$B,MATCH(A35,Price!$A:$A,0))</f>
        <v>96.495000000000005</v>
      </c>
      <c r="F35" s="30">
        <f>IF(B35=0,0,C35-E35)*IF(M35=5,100000,1000)</f>
        <v>0</v>
      </c>
      <c r="G35" s="30">
        <f>IF(I35=0,0,L35-J35)*IF(M35=5,100000,1000)</f>
        <v>0</v>
      </c>
      <c r="H35" s="27" t="s">
        <v>16</v>
      </c>
      <c r="I35" s="6">
        <v>0</v>
      </c>
      <c r="J35" s="28">
        <v>0</v>
      </c>
      <c r="K35" s="6">
        <v>0</v>
      </c>
      <c r="L35" s="29">
        <f>INDEX(Price!$B:$B,MATCH(H35,Price!$A:$A,0))</f>
        <v>96.495000000000005</v>
      </c>
      <c r="M35" s="29">
        <v>3</v>
      </c>
      <c r="N35" s="29">
        <v>30</v>
      </c>
      <c r="O35" s="48">
        <f>INDEX(Sheet1!E:E,MATCH(H35,Sheet1!B:B,0))</f>
        <v>3</v>
      </c>
      <c r="P35" s="48">
        <v>12</v>
      </c>
      <c r="Q35" s="2"/>
      <c r="R35" s="2"/>
      <c r="S35" s="2">
        <v>18</v>
      </c>
      <c r="T35" s="49">
        <v>0</v>
      </c>
    </row>
    <row r="36" spans="1:20" x14ac:dyDescent="0.3">
      <c r="A36" s="27" t="s">
        <v>10</v>
      </c>
      <c r="B36" s="6">
        <v>0</v>
      </c>
      <c r="C36" s="28">
        <v>0</v>
      </c>
      <c r="D36" s="28">
        <v>0</v>
      </c>
      <c r="E36" s="29">
        <f>INDEX(Price!$B:$B,MATCH(A36,Price!$A:$A,0))</f>
        <v>59.544130000000003</v>
      </c>
      <c r="F36" s="30">
        <f>IF(B36=0,0,C36-E36)*IF(M36=5,100000,1000)</f>
        <v>0</v>
      </c>
      <c r="G36" s="30">
        <f>IF(I36=0,0,L36-J36)*IF(M36=5,100000,1000)</f>
        <v>0</v>
      </c>
      <c r="H36" s="27" t="s">
        <v>10</v>
      </c>
      <c r="I36" s="6">
        <v>0</v>
      </c>
      <c r="J36" s="28">
        <v>0</v>
      </c>
      <c r="K36" s="6">
        <v>0</v>
      </c>
      <c r="L36" s="29">
        <f>INDEX(Price!$B:$B,MATCH(H36,Price!$A:$A,0))</f>
        <v>59.544130000000003</v>
      </c>
      <c r="M36" s="29">
        <v>5</v>
      </c>
      <c r="N36" s="29">
        <v>200</v>
      </c>
      <c r="O36" s="48">
        <f>INDEX(Sheet1!E:E,MATCH(H36,Sheet1!B:B,0))</f>
        <v>25</v>
      </c>
      <c r="P36" s="48">
        <v>0</v>
      </c>
      <c r="Q36" s="2"/>
      <c r="R36" s="2"/>
      <c r="S36" s="2">
        <v>19</v>
      </c>
      <c r="T36" s="49">
        <v>0</v>
      </c>
    </row>
    <row r="37" spans="1:20" x14ac:dyDescent="0.3">
      <c r="A37" s="27" t="s">
        <v>25</v>
      </c>
      <c r="B37" s="6">
        <v>0</v>
      </c>
      <c r="C37" s="28">
        <v>0</v>
      </c>
      <c r="D37" s="28">
        <v>0</v>
      </c>
      <c r="E37" s="29">
        <f>INDEX(Price!$B:$B,MATCH(A37,Price!$A:$A,0))</f>
        <v>67.528999999999996</v>
      </c>
      <c r="F37" s="30">
        <f>IF(B37=0,0,C37-E37)*IF(M37=5,100000,1000)</f>
        <v>0</v>
      </c>
      <c r="G37" s="30">
        <f>IF(I37=0,0,L37-J37)*IF(M37=5,100000,1000)</f>
        <v>0</v>
      </c>
      <c r="H37" s="27" t="s">
        <v>25</v>
      </c>
      <c r="I37" s="6">
        <v>0</v>
      </c>
      <c r="J37" s="28">
        <v>0</v>
      </c>
      <c r="K37" s="6">
        <v>0</v>
      </c>
      <c r="L37" s="29">
        <f>INDEX(Price!$B:$B,MATCH(H37,Price!$A:$A,0))</f>
        <v>67.528999999999996</v>
      </c>
      <c r="M37" s="29">
        <v>3</v>
      </c>
      <c r="N37" s="29">
        <v>6</v>
      </c>
      <c r="O37" s="48">
        <f>INDEX(Sheet1!E:E,MATCH(H37,Sheet1!B:B,0))</f>
        <v>1</v>
      </c>
      <c r="P37" s="48">
        <v>0</v>
      </c>
      <c r="Q37" s="2"/>
      <c r="R37" s="2"/>
      <c r="S37" s="2">
        <v>20</v>
      </c>
      <c r="T37" s="49">
        <v>1</v>
      </c>
    </row>
    <row r="38" spans="1:20" x14ac:dyDescent="0.3">
      <c r="A38" s="27" t="s">
        <v>26</v>
      </c>
      <c r="B38" s="6">
        <v>0</v>
      </c>
      <c r="C38" s="28">
        <v>0</v>
      </c>
      <c r="D38" s="28">
        <v>0</v>
      </c>
      <c r="E38" s="29">
        <f>INDEX(Price!$B:$B,MATCH(A38,Price!$A:$A,0))</f>
        <v>0.63170000000000004</v>
      </c>
      <c r="F38" s="30">
        <f>IF(B38=0,0,C38-E38)*IF(M38=5,100000,1000)</f>
        <v>0</v>
      </c>
      <c r="G38" s="30">
        <f>IF(I38=0,0,L38-J38)*IF(M38=5,100000,1000)</f>
        <v>0</v>
      </c>
      <c r="H38" s="27" t="s">
        <v>26</v>
      </c>
      <c r="I38" s="6">
        <v>0</v>
      </c>
      <c r="J38" s="28">
        <v>0</v>
      </c>
      <c r="K38" s="6">
        <v>0</v>
      </c>
      <c r="L38" s="29">
        <f>INDEX(Price!$B:$B,MATCH(H38,Price!$A:$A,0))</f>
        <v>0.63170000000000004</v>
      </c>
      <c r="M38" s="29">
        <v>5</v>
      </c>
      <c r="N38" s="29">
        <v>6</v>
      </c>
      <c r="O38" s="48">
        <f>INDEX(Sheet1!E:E,MATCH(H38,Sheet1!B:B,0))</f>
        <v>1</v>
      </c>
      <c r="P38" s="48">
        <v>0</v>
      </c>
      <c r="Q38" s="2"/>
      <c r="R38" s="2"/>
      <c r="S38" s="2">
        <v>21</v>
      </c>
      <c r="T38" s="49">
        <v>1</v>
      </c>
    </row>
    <row r="39" spans="1:20" x14ac:dyDescent="0.3">
      <c r="A39" s="27" t="s">
        <v>17</v>
      </c>
      <c r="B39" s="6">
        <v>0</v>
      </c>
      <c r="C39" s="28">
        <v>0</v>
      </c>
      <c r="D39" s="28">
        <v>0</v>
      </c>
      <c r="E39" s="29">
        <f>INDEX(Price!$B:$B,MATCH(A39,Price!$A:$A,0))</f>
        <v>0.82789999999999997</v>
      </c>
      <c r="F39" s="30">
        <f>IF(B39=0,0,C39-E39)*IF(M39=5,100000,1000)</f>
        <v>0</v>
      </c>
      <c r="G39" s="30">
        <f>IF(I39=0,0,L39-J39)*IF(M39=5,100000,1000)</f>
        <v>0</v>
      </c>
      <c r="H39" s="27" t="s">
        <v>17</v>
      </c>
      <c r="I39" s="6">
        <v>0</v>
      </c>
      <c r="J39" s="28">
        <v>0</v>
      </c>
      <c r="K39" s="6">
        <v>0</v>
      </c>
      <c r="L39" s="29">
        <f>INDEX(Price!$B:$B,MATCH(H39,Price!$A:$A,0))</f>
        <v>0.82789999999999997</v>
      </c>
      <c r="M39" s="29">
        <v>5</v>
      </c>
      <c r="N39" s="29">
        <v>30</v>
      </c>
      <c r="O39" s="48">
        <f>INDEX(Sheet1!E:E,MATCH(H39,Sheet1!B:B,0))</f>
        <v>3</v>
      </c>
      <c r="P39" s="48">
        <v>9</v>
      </c>
      <c r="Q39" s="2"/>
      <c r="R39" s="2"/>
      <c r="S39" s="2">
        <v>22</v>
      </c>
      <c r="T39" s="49">
        <v>0</v>
      </c>
    </row>
    <row r="40" spans="1:20" x14ac:dyDescent="0.3">
      <c r="A40" s="27" t="s">
        <v>27</v>
      </c>
      <c r="B40" s="6">
        <v>0</v>
      </c>
      <c r="C40" s="28">
        <v>0</v>
      </c>
      <c r="D40" s="28">
        <v>0</v>
      </c>
      <c r="E40" s="29">
        <f>INDEX(Price!$B:$B,MATCH(A40,Price!$A:$A,0))</f>
        <v>1.3310200000000001</v>
      </c>
      <c r="F40" s="30">
        <f>IF(B40=0,0,C40-E40)*IF(M40=5,100000,1000)</f>
        <v>0</v>
      </c>
      <c r="G40" s="30">
        <f>IF(I40=0,0,L40-J40)*IF(M40=5,100000,1000)</f>
        <v>0</v>
      </c>
      <c r="H40" s="27" t="s">
        <v>27</v>
      </c>
      <c r="I40" s="6">
        <v>0</v>
      </c>
      <c r="J40" s="28">
        <v>0</v>
      </c>
      <c r="K40" s="6">
        <v>0</v>
      </c>
      <c r="L40" s="29">
        <f>INDEX(Price!$B:$B,MATCH(H40,Price!$A:$A,0))</f>
        <v>1.3310200000000001</v>
      </c>
      <c r="M40" s="29">
        <v>5</v>
      </c>
      <c r="N40" s="29">
        <v>6</v>
      </c>
      <c r="O40" s="48">
        <f>INDEX(Sheet1!E:E,MATCH(H40,Sheet1!B:B,0))</f>
        <v>1</v>
      </c>
      <c r="P40" s="48">
        <v>0</v>
      </c>
      <c r="Q40" s="2"/>
      <c r="R40" s="2"/>
      <c r="S40" s="2">
        <v>23</v>
      </c>
      <c r="T40" s="49">
        <v>1</v>
      </c>
    </row>
    <row r="41" spans="1:20" x14ac:dyDescent="0.3">
      <c r="A41" s="27" t="s">
        <v>28</v>
      </c>
      <c r="B41" s="6">
        <v>0</v>
      </c>
      <c r="C41" s="28">
        <v>0</v>
      </c>
      <c r="D41" s="28">
        <v>0</v>
      </c>
      <c r="E41" s="29">
        <f>INDEX(Price!$B:$B,MATCH(A41,Price!$A:$A,0))</f>
        <v>0.99558000000000002</v>
      </c>
      <c r="F41" s="30">
        <f>IF(B41=0,0,C41-E41)*IF(M41=5,100000,1000)</f>
        <v>0</v>
      </c>
      <c r="G41" s="30">
        <f>IF(I41=0,0,L41-J41)*IF(M41=5,100000,1000)</f>
        <v>0</v>
      </c>
      <c r="H41" s="27" t="s">
        <v>28</v>
      </c>
      <c r="I41" s="6">
        <v>0</v>
      </c>
      <c r="J41" s="28">
        <v>0</v>
      </c>
      <c r="K41" s="6">
        <v>0</v>
      </c>
      <c r="L41" s="29">
        <f>INDEX(Price!$B:$B,MATCH(H41,Price!$A:$A,0))</f>
        <v>0.99558000000000002</v>
      </c>
      <c r="M41" s="29">
        <v>5</v>
      </c>
      <c r="N41" s="29">
        <v>6</v>
      </c>
      <c r="O41" s="48">
        <f>INDEX(Sheet1!E:E,MATCH(H41,Sheet1!B:B,0))</f>
        <v>1</v>
      </c>
      <c r="P41" s="48">
        <v>0</v>
      </c>
      <c r="Q41" s="2"/>
      <c r="R41" s="2"/>
      <c r="S41" s="2">
        <v>24</v>
      </c>
      <c r="T41" s="49">
        <v>1</v>
      </c>
    </row>
    <row r="42" spans="1:20" x14ac:dyDescent="0.3">
      <c r="A42" s="27" t="s">
        <v>29</v>
      </c>
      <c r="B42" s="6">
        <v>0</v>
      </c>
      <c r="C42" s="28">
        <v>0</v>
      </c>
      <c r="D42" s="28">
        <v>0</v>
      </c>
      <c r="E42" s="29">
        <f>INDEX(Price!$B:$B,MATCH(A42,Price!$A:$A,0))</f>
        <v>106.92400000000001</v>
      </c>
      <c r="F42" s="30">
        <f>IF(B42=0,0,C42-E42)*IF(M42=5,100000,1000)</f>
        <v>0</v>
      </c>
      <c r="G42" s="30">
        <f>IF(I42=0,0,L42-J42)*IF(M42=5,100000,1000)</f>
        <v>0</v>
      </c>
      <c r="H42" s="27" t="s">
        <v>29</v>
      </c>
      <c r="I42" s="6">
        <v>0</v>
      </c>
      <c r="J42" s="28">
        <v>0</v>
      </c>
      <c r="K42" s="6">
        <v>0</v>
      </c>
      <c r="L42" s="29">
        <f>INDEX(Price!$B:$B,MATCH(H42,Price!$A:$A,0))</f>
        <v>106.92400000000001</v>
      </c>
      <c r="M42" s="29">
        <v>3</v>
      </c>
      <c r="N42" s="29">
        <v>6</v>
      </c>
      <c r="O42" s="48">
        <f>INDEX(Sheet1!E:E,MATCH(H42,Sheet1!B:B,0))</f>
        <v>1</v>
      </c>
      <c r="P42" s="48">
        <v>0</v>
      </c>
      <c r="Q42" s="2"/>
      <c r="R42" s="2"/>
      <c r="S42" s="2">
        <v>25</v>
      </c>
      <c r="T42" s="49">
        <v>1</v>
      </c>
    </row>
  </sheetData>
  <mergeCells count="9">
    <mergeCell ref="A15:E15"/>
    <mergeCell ref="H15:L15"/>
    <mergeCell ref="B1:C1"/>
    <mergeCell ref="B2:C2"/>
    <mergeCell ref="R3:S3"/>
    <mergeCell ref="R4:S4"/>
    <mergeCell ref="R5:S5"/>
    <mergeCell ref="Q1:S1"/>
    <mergeCell ref="R2:S2"/>
  </mergeCells>
  <conditionalFormatting sqref="F18:G42">
    <cfRule type="cellIs" dxfId="4" priority="3" operator="lessThan">
      <formula>0</formula>
    </cfRule>
  </conditionalFormatting>
  <conditionalFormatting sqref="F18:F42">
    <cfRule type="expression" dxfId="3" priority="4">
      <formula>AND(D18&lt;12,D18&gt;0)</formula>
    </cfRule>
  </conditionalFormatting>
  <conditionalFormatting sqref="G18:G42">
    <cfRule type="expression" dxfId="2" priority="5">
      <formula>AND(K18&lt;12,K18&gt;0)</formula>
    </cfRule>
  </conditionalFormatting>
  <conditionalFormatting sqref="T18:T42">
    <cfRule type="cellIs" dxfId="0" priority="2" operator="equal">
      <formula>1</formula>
    </cfRule>
    <cfRule type="cellIs" dxfId="1" priority="1" operator="equal">
      <formula>0</formula>
    </cfRule>
  </conditionalFormatting>
  <dataValidations count="2">
    <dataValidation type="list" allowBlank="1" showInputMessage="1" showErrorMessage="1" sqref="A2" xr:uid="{A22EAEAC-0A09-406A-A11D-31E88E2C590E}">
      <formula1>$AX$1:$AX$2</formula1>
    </dataValidation>
    <dataValidation type="list" allowBlank="1" showInputMessage="1" showErrorMessage="1" sqref="T18:T42" xr:uid="{B06CF1CB-995E-4CA2-B454-DE35F8ECD998}">
      <formula1>$T$1:$T$2</formula1>
    </dataValidation>
  </dataValidations>
  <pageMargins left="0.7" right="0.7" top="0.75" bottom="0.75" header="0.3" footer="0.3"/>
  <pageSetup orientation="portrait" horizontalDpi="300" verticalDpi="300" r:id="rId3"/>
  <drawing r:id="rId4"/>
  <tableParts count="1">
    <tablePart r:id="rId5"/>
  </tableParts>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D6F81-4C94-4F33-AC32-9240017DFEEE}">
  <sheetPr codeName="Sheet2"/>
  <dimension ref="A1:U117"/>
  <sheetViews>
    <sheetView workbookViewId="0">
      <selection sqref="A1:XFD1048576"/>
    </sheetView>
  </sheetViews>
  <sheetFormatPr defaultRowHeight="14.4" x14ac:dyDescent="0.3"/>
  <cols>
    <col min="1" max="1" width="12" customWidth="1"/>
    <col min="2" max="2" width="9.88671875" customWidth="1"/>
    <col min="3" max="3" width="10.109375" customWidth="1"/>
    <col min="4" max="4" width="15.109375" customWidth="1"/>
    <col min="5" max="5" width="10.5546875" customWidth="1"/>
    <col min="6" max="6" width="14.44140625" customWidth="1"/>
    <col min="7" max="7" width="12" customWidth="1"/>
    <col min="8" max="8" width="15.5546875" customWidth="1"/>
    <col min="9" max="9" width="9.109375" customWidth="1"/>
    <col min="10" max="10" width="9.88671875" customWidth="1"/>
    <col min="11" max="11" width="7.5546875" customWidth="1"/>
    <col min="12" max="12" width="8" customWidth="1"/>
    <col min="13" max="13" width="12.88671875" customWidth="1"/>
    <col min="14" max="14" width="8.109375" customWidth="1"/>
    <col min="15" max="15" width="12.109375" customWidth="1"/>
    <col min="16" max="16" width="9.88671875" customWidth="1"/>
    <col min="17" max="17" width="13.109375" customWidth="1"/>
    <col min="19" max="19" width="10.5546875" style="20" customWidth="1"/>
    <col min="20" max="20" width="10.5546875" bestFit="1" customWidth="1"/>
    <col min="21" max="21" width="20.88671875" style="45" customWidth="1"/>
    <col min="22" max="22" width="15.88671875" bestFit="1" customWidth="1"/>
    <col min="23" max="23" width="27.88671875" bestFit="1" customWidth="1"/>
  </cols>
  <sheetData>
    <row r="1" spans="1:21" x14ac:dyDescent="0.3">
      <c r="A1" t="s">
        <v>63</v>
      </c>
      <c r="B1" s="44"/>
    </row>
    <row r="5" spans="1:21" x14ac:dyDescent="0.3">
      <c r="A5" s="46" t="s">
        <v>53</v>
      </c>
      <c r="B5" s="46"/>
      <c r="C5" s="46"/>
      <c r="D5" s="46"/>
      <c r="E5" s="46"/>
      <c r="F5" s="46"/>
      <c r="G5" s="46"/>
      <c r="H5" s="46"/>
      <c r="J5" s="47" t="s">
        <v>54</v>
      </c>
      <c r="K5" s="47"/>
      <c r="L5" s="47"/>
      <c r="M5" s="47"/>
      <c r="N5" s="47"/>
      <c r="O5" s="47"/>
      <c r="P5" s="47"/>
      <c r="Q5" s="47"/>
    </row>
    <row r="6" spans="1:21" x14ac:dyDescent="0.3">
      <c r="A6" t="s">
        <v>64</v>
      </c>
      <c r="B6" t="s">
        <v>1</v>
      </c>
      <c r="C6" t="s">
        <v>42</v>
      </c>
      <c r="D6" t="s">
        <v>65</v>
      </c>
      <c r="E6" t="s">
        <v>66</v>
      </c>
      <c r="F6" t="s">
        <v>56</v>
      </c>
      <c r="G6" t="s">
        <v>67</v>
      </c>
      <c r="H6" t="s">
        <v>68</v>
      </c>
      <c r="J6" t="s">
        <v>64</v>
      </c>
      <c r="K6" t="s">
        <v>1</v>
      </c>
      <c r="L6" t="s">
        <v>42</v>
      </c>
      <c r="M6" t="s">
        <v>65</v>
      </c>
      <c r="N6" t="s">
        <v>66</v>
      </c>
      <c r="O6" t="s">
        <v>56</v>
      </c>
      <c r="P6" t="s">
        <v>67</v>
      </c>
      <c r="Q6" t="s">
        <v>68</v>
      </c>
      <c r="S6"/>
      <c r="U6"/>
    </row>
    <row r="7" spans="1:21" x14ac:dyDescent="0.3">
      <c r="A7" s="20"/>
      <c r="S7"/>
      <c r="U7"/>
    </row>
    <row r="8" spans="1:21" x14ac:dyDescent="0.3">
      <c r="S8"/>
      <c r="U8"/>
    </row>
    <row r="9" spans="1:21" x14ac:dyDescent="0.3">
      <c r="S9"/>
      <c r="U9"/>
    </row>
    <row r="10" spans="1:21" x14ac:dyDescent="0.3">
      <c r="S10"/>
      <c r="U10"/>
    </row>
    <row r="11" spans="1:21" x14ac:dyDescent="0.3">
      <c r="S11"/>
      <c r="U11"/>
    </row>
    <row r="12" spans="1:21" x14ac:dyDescent="0.3">
      <c r="S12"/>
      <c r="U12"/>
    </row>
    <row r="13" spans="1:21" x14ac:dyDescent="0.3">
      <c r="S13"/>
      <c r="U13"/>
    </row>
    <row r="14" spans="1:21" x14ac:dyDescent="0.3">
      <c r="S14"/>
      <c r="U14"/>
    </row>
    <row r="15" spans="1:21" x14ac:dyDescent="0.3">
      <c r="S15"/>
      <c r="U15"/>
    </row>
    <row r="16" spans="1:21" x14ac:dyDescent="0.3">
      <c r="S16"/>
      <c r="U16"/>
    </row>
    <row r="17" spans="10:21" x14ac:dyDescent="0.3">
      <c r="S17"/>
      <c r="U17"/>
    </row>
    <row r="18" spans="10:21" x14ac:dyDescent="0.3">
      <c r="S18"/>
      <c r="U18"/>
    </row>
    <row r="19" spans="10:21" x14ac:dyDescent="0.3">
      <c r="S19"/>
      <c r="U19"/>
    </row>
    <row r="20" spans="10:21" x14ac:dyDescent="0.3">
      <c r="S20"/>
      <c r="U20"/>
    </row>
    <row r="21" spans="10:21" x14ac:dyDescent="0.3">
      <c r="S21"/>
      <c r="U21"/>
    </row>
    <row r="22" spans="10:21" x14ac:dyDescent="0.3">
      <c r="S22"/>
      <c r="U22"/>
    </row>
    <row r="23" spans="10:21" x14ac:dyDescent="0.3">
      <c r="S23"/>
      <c r="U23"/>
    </row>
    <row r="24" spans="10:21" x14ac:dyDescent="0.3">
      <c r="S24"/>
      <c r="U24"/>
    </row>
    <row r="25" spans="10:21" x14ac:dyDescent="0.3">
      <c r="S25"/>
      <c r="U25"/>
    </row>
    <row r="26" spans="10:21" x14ac:dyDescent="0.3">
      <c r="S26"/>
      <c r="U26"/>
    </row>
    <row r="27" spans="10:21" x14ac:dyDescent="0.3">
      <c r="S27"/>
      <c r="U27"/>
    </row>
    <row r="28" spans="10:21" x14ac:dyDescent="0.3">
      <c r="S28"/>
      <c r="U28"/>
    </row>
    <row r="29" spans="10:21" x14ac:dyDescent="0.3">
      <c r="S29"/>
      <c r="U29"/>
    </row>
    <row r="30" spans="10:21" x14ac:dyDescent="0.3">
      <c r="S30"/>
      <c r="U30"/>
    </row>
    <row r="31" spans="10:21" x14ac:dyDescent="0.3">
      <c r="S31"/>
      <c r="U31"/>
    </row>
    <row r="32" spans="10:21" x14ac:dyDescent="0.3">
      <c r="J32" s="45"/>
      <c r="S32"/>
      <c r="U32"/>
    </row>
    <row r="33" spans="9:21" x14ac:dyDescent="0.3">
      <c r="J33" s="45"/>
      <c r="S33"/>
      <c r="U33"/>
    </row>
    <row r="34" spans="9:21" x14ac:dyDescent="0.3">
      <c r="J34" s="45"/>
      <c r="S34"/>
      <c r="U34"/>
    </row>
    <row r="35" spans="9:21" x14ac:dyDescent="0.3">
      <c r="J35" s="45"/>
      <c r="S35"/>
      <c r="U35"/>
    </row>
    <row r="36" spans="9:21" x14ac:dyDescent="0.3">
      <c r="J36" s="45"/>
      <c r="S36"/>
      <c r="U36"/>
    </row>
    <row r="37" spans="9:21" x14ac:dyDescent="0.3">
      <c r="J37" s="45"/>
      <c r="S37"/>
      <c r="U37"/>
    </row>
    <row r="38" spans="9:21" x14ac:dyDescent="0.3">
      <c r="J38" s="45"/>
      <c r="S38"/>
      <c r="U38"/>
    </row>
    <row r="39" spans="9:21" x14ac:dyDescent="0.3">
      <c r="I39" s="45"/>
      <c r="J39" s="45"/>
      <c r="S39"/>
      <c r="U39"/>
    </row>
    <row r="40" spans="9:21" x14ac:dyDescent="0.3">
      <c r="I40" s="45"/>
      <c r="J40" s="45"/>
      <c r="S40"/>
      <c r="U40"/>
    </row>
    <row r="41" spans="9:21" x14ac:dyDescent="0.3">
      <c r="I41" s="45"/>
      <c r="J41" s="45"/>
      <c r="S41"/>
      <c r="U41"/>
    </row>
    <row r="42" spans="9:21" x14ac:dyDescent="0.3">
      <c r="I42" s="45"/>
      <c r="J42" s="45"/>
      <c r="S42"/>
      <c r="U42"/>
    </row>
    <row r="43" spans="9:21" x14ac:dyDescent="0.3">
      <c r="I43" s="45"/>
      <c r="J43" s="45"/>
      <c r="S43"/>
      <c r="U43"/>
    </row>
    <row r="44" spans="9:21" x14ac:dyDescent="0.3">
      <c r="I44" s="45"/>
      <c r="J44" s="45"/>
      <c r="S44"/>
      <c r="U44"/>
    </row>
    <row r="45" spans="9:21" x14ac:dyDescent="0.3">
      <c r="I45" s="45"/>
      <c r="J45" s="45"/>
      <c r="S45"/>
      <c r="U45"/>
    </row>
    <row r="46" spans="9:21" x14ac:dyDescent="0.3">
      <c r="I46" s="45"/>
      <c r="J46" s="45"/>
      <c r="S46"/>
      <c r="U46"/>
    </row>
    <row r="47" spans="9:21" x14ac:dyDescent="0.3">
      <c r="I47" s="45"/>
      <c r="J47" s="45"/>
      <c r="S47"/>
      <c r="U47"/>
    </row>
    <row r="48" spans="9:21" x14ac:dyDescent="0.3">
      <c r="I48" s="45"/>
      <c r="J48" s="45"/>
      <c r="S48"/>
      <c r="U48"/>
    </row>
    <row r="49" spans="9:21" x14ac:dyDescent="0.3">
      <c r="I49" s="45"/>
      <c r="J49" s="45"/>
      <c r="S49"/>
      <c r="U49"/>
    </row>
    <row r="50" spans="9:21" x14ac:dyDescent="0.3">
      <c r="I50" s="45"/>
      <c r="J50" s="45"/>
      <c r="S50"/>
      <c r="U50"/>
    </row>
    <row r="51" spans="9:21" x14ac:dyDescent="0.3">
      <c r="I51" s="45"/>
      <c r="J51" s="45"/>
      <c r="S51"/>
      <c r="U51"/>
    </row>
    <row r="52" spans="9:21" x14ac:dyDescent="0.3">
      <c r="I52" s="20"/>
      <c r="J52" s="45"/>
      <c r="S52"/>
      <c r="U52"/>
    </row>
    <row r="53" spans="9:21" x14ac:dyDescent="0.3">
      <c r="I53" s="20"/>
      <c r="J53" s="45"/>
      <c r="S53"/>
      <c r="U53"/>
    </row>
    <row r="54" spans="9:21" x14ac:dyDescent="0.3">
      <c r="I54" s="20"/>
      <c r="J54" s="45"/>
      <c r="S54"/>
      <c r="U54"/>
    </row>
    <row r="55" spans="9:21" x14ac:dyDescent="0.3">
      <c r="I55" s="20"/>
      <c r="J55" s="45"/>
      <c r="S55"/>
      <c r="U55"/>
    </row>
    <row r="56" spans="9:21" x14ac:dyDescent="0.3">
      <c r="I56" s="20"/>
      <c r="J56" s="45"/>
      <c r="S56"/>
      <c r="U56"/>
    </row>
    <row r="57" spans="9:21" x14ac:dyDescent="0.3">
      <c r="I57" s="20"/>
      <c r="J57" s="45"/>
      <c r="S57"/>
      <c r="U57"/>
    </row>
    <row r="58" spans="9:21" x14ac:dyDescent="0.3">
      <c r="I58" s="20"/>
      <c r="J58" s="45"/>
      <c r="S58"/>
      <c r="U58"/>
    </row>
    <row r="59" spans="9:21" x14ac:dyDescent="0.3">
      <c r="I59" s="20"/>
      <c r="J59" s="45"/>
      <c r="S59"/>
      <c r="U59"/>
    </row>
    <row r="60" spans="9:21" x14ac:dyDescent="0.3">
      <c r="I60" s="20"/>
      <c r="J60" s="45"/>
      <c r="S60"/>
      <c r="U60"/>
    </row>
    <row r="61" spans="9:21" x14ac:dyDescent="0.3">
      <c r="I61" s="20"/>
      <c r="J61" s="45"/>
      <c r="S61"/>
      <c r="U61"/>
    </row>
    <row r="62" spans="9:21" x14ac:dyDescent="0.3">
      <c r="I62" s="20"/>
      <c r="J62" s="45"/>
      <c r="S62"/>
      <c r="U62"/>
    </row>
    <row r="63" spans="9:21" x14ac:dyDescent="0.3">
      <c r="I63" s="20"/>
      <c r="J63" s="45"/>
      <c r="S63"/>
      <c r="U63"/>
    </row>
    <row r="64" spans="9:21" x14ac:dyDescent="0.3">
      <c r="I64" s="20"/>
      <c r="J64" s="45"/>
      <c r="S64"/>
      <c r="U64"/>
    </row>
    <row r="65" spans="9:21" x14ac:dyDescent="0.3">
      <c r="I65" s="20"/>
      <c r="J65" s="45"/>
      <c r="S65"/>
      <c r="U65"/>
    </row>
    <row r="66" spans="9:21" x14ac:dyDescent="0.3">
      <c r="I66" s="20"/>
      <c r="J66" s="45"/>
      <c r="S66"/>
      <c r="U66"/>
    </row>
    <row r="67" spans="9:21" x14ac:dyDescent="0.3">
      <c r="I67" s="20"/>
      <c r="J67" s="45"/>
      <c r="S67"/>
      <c r="U67"/>
    </row>
    <row r="68" spans="9:21" x14ac:dyDescent="0.3">
      <c r="I68" s="20"/>
      <c r="J68" s="45"/>
      <c r="S68"/>
      <c r="U68"/>
    </row>
    <row r="69" spans="9:21" x14ac:dyDescent="0.3">
      <c r="I69" s="20"/>
      <c r="J69" s="45"/>
      <c r="S69"/>
      <c r="U69"/>
    </row>
    <row r="70" spans="9:21" x14ac:dyDescent="0.3">
      <c r="I70" s="20"/>
      <c r="J70" s="45"/>
      <c r="S70"/>
      <c r="U70"/>
    </row>
    <row r="71" spans="9:21" x14ac:dyDescent="0.3">
      <c r="I71" s="20"/>
      <c r="J71" s="45"/>
      <c r="S71"/>
      <c r="U71"/>
    </row>
    <row r="72" spans="9:21" x14ac:dyDescent="0.3">
      <c r="I72" s="20"/>
      <c r="J72" s="45"/>
      <c r="S72"/>
      <c r="U72"/>
    </row>
    <row r="73" spans="9:21" x14ac:dyDescent="0.3">
      <c r="I73" s="20"/>
      <c r="J73" s="45"/>
      <c r="S73"/>
      <c r="U73"/>
    </row>
    <row r="74" spans="9:21" x14ac:dyDescent="0.3">
      <c r="I74" s="20"/>
      <c r="J74" s="45"/>
      <c r="S74"/>
      <c r="U74"/>
    </row>
    <row r="75" spans="9:21" x14ac:dyDescent="0.3">
      <c r="I75" s="20"/>
      <c r="J75" s="45"/>
      <c r="S75"/>
      <c r="U75"/>
    </row>
    <row r="76" spans="9:21" x14ac:dyDescent="0.3">
      <c r="I76" s="20"/>
      <c r="J76" s="45"/>
      <c r="S76"/>
      <c r="U76"/>
    </row>
    <row r="77" spans="9:21" x14ac:dyDescent="0.3">
      <c r="I77" s="20"/>
      <c r="J77" s="45"/>
      <c r="S77"/>
      <c r="U77"/>
    </row>
    <row r="78" spans="9:21" x14ac:dyDescent="0.3">
      <c r="I78" s="20"/>
      <c r="J78" s="45"/>
      <c r="S78"/>
      <c r="U78"/>
    </row>
    <row r="79" spans="9:21" x14ac:dyDescent="0.3">
      <c r="I79" s="20"/>
      <c r="J79" s="45"/>
      <c r="S79"/>
      <c r="U79"/>
    </row>
    <row r="80" spans="9:21" x14ac:dyDescent="0.3">
      <c r="I80" s="20"/>
      <c r="J80" s="45"/>
      <c r="S80"/>
      <c r="U80"/>
    </row>
    <row r="81" spans="9:21" x14ac:dyDescent="0.3">
      <c r="I81" s="20"/>
      <c r="J81" s="45"/>
      <c r="S81"/>
      <c r="U81"/>
    </row>
    <row r="82" spans="9:21" x14ac:dyDescent="0.3">
      <c r="I82" s="20"/>
      <c r="S82"/>
      <c r="U82"/>
    </row>
    <row r="83" spans="9:21" x14ac:dyDescent="0.3">
      <c r="I83" s="20"/>
      <c r="S83"/>
      <c r="U83"/>
    </row>
    <row r="84" spans="9:21" x14ac:dyDescent="0.3">
      <c r="I84" s="20"/>
      <c r="S84"/>
      <c r="U84"/>
    </row>
    <row r="85" spans="9:21" x14ac:dyDescent="0.3">
      <c r="I85" s="20"/>
      <c r="S85"/>
      <c r="U85"/>
    </row>
    <row r="86" spans="9:21" x14ac:dyDescent="0.3">
      <c r="I86" s="20"/>
      <c r="S86"/>
      <c r="U86"/>
    </row>
    <row r="87" spans="9:21" x14ac:dyDescent="0.3">
      <c r="I87" s="20"/>
      <c r="S87"/>
      <c r="U87"/>
    </row>
    <row r="88" spans="9:21" x14ac:dyDescent="0.3">
      <c r="I88" s="20"/>
      <c r="S88"/>
      <c r="U88"/>
    </row>
    <row r="89" spans="9:21" x14ac:dyDescent="0.3">
      <c r="I89" s="20"/>
      <c r="S89"/>
      <c r="U89"/>
    </row>
    <row r="90" spans="9:21" x14ac:dyDescent="0.3">
      <c r="I90" s="20"/>
      <c r="S90"/>
      <c r="U90"/>
    </row>
    <row r="91" spans="9:21" x14ac:dyDescent="0.3">
      <c r="I91" s="20"/>
      <c r="S91"/>
      <c r="U91"/>
    </row>
    <row r="92" spans="9:21" x14ac:dyDescent="0.3">
      <c r="I92" s="20"/>
      <c r="S92"/>
      <c r="U92"/>
    </row>
    <row r="93" spans="9:21" x14ac:dyDescent="0.3">
      <c r="I93" s="20"/>
      <c r="S93"/>
      <c r="U93"/>
    </row>
    <row r="94" spans="9:21" x14ac:dyDescent="0.3">
      <c r="I94" s="20"/>
      <c r="S94"/>
      <c r="U94"/>
    </row>
    <row r="95" spans="9:21" x14ac:dyDescent="0.3">
      <c r="I95" s="20"/>
      <c r="S95"/>
      <c r="U95"/>
    </row>
    <row r="96" spans="9:21" x14ac:dyDescent="0.3">
      <c r="I96" s="20"/>
      <c r="S96"/>
      <c r="U96"/>
    </row>
    <row r="97" spans="9:21" x14ac:dyDescent="0.3">
      <c r="I97" s="20"/>
      <c r="S97"/>
      <c r="U97"/>
    </row>
    <row r="98" spans="9:21" x14ac:dyDescent="0.3">
      <c r="I98" s="20"/>
      <c r="S98"/>
      <c r="U98"/>
    </row>
    <row r="99" spans="9:21" x14ac:dyDescent="0.3">
      <c r="I99" s="20"/>
      <c r="S99"/>
      <c r="U99"/>
    </row>
    <row r="100" spans="9:21" x14ac:dyDescent="0.3">
      <c r="I100" s="20"/>
      <c r="S100"/>
      <c r="U100"/>
    </row>
    <row r="101" spans="9:21" x14ac:dyDescent="0.3">
      <c r="I101" s="20"/>
      <c r="S101"/>
      <c r="U101"/>
    </row>
    <row r="102" spans="9:21" x14ac:dyDescent="0.3">
      <c r="T102" s="45"/>
      <c r="U102"/>
    </row>
    <row r="103" spans="9:21" x14ac:dyDescent="0.3">
      <c r="T103" s="45"/>
      <c r="U103"/>
    </row>
    <row r="104" spans="9:21" x14ac:dyDescent="0.3">
      <c r="T104" s="45"/>
      <c r="U104"/>
    </row>
    <row r="105" spans="9:21" x14ac:dyDescent="0.3">
      <c r="T105" s="45"/>
      <c r="U105"/>
    </row>
    <row r="106" spans="9:21" x14ac:dyDescent="0.3">
      <c r="T106" s="45"/>
      <c r="U106"/>
    </row>
    <row r="107" spans="9:21" x14ac:dyDescent="0.3">
      <c r="T107" s="45"/>
      <c r="U107"/>
    </row>
    <row r="108" spans="9:21" x14ac:dyDescent="0.3">
      <c r="T108" s="45"/>
      <c r="U108"/>
    </row>
    <row r="109" spans="9:21" x14ac:dyDescent="0.3">
      <c r="T109" s="45"/>
      <c r="U109"/>
    </row>
    <row r="110" spans="9:21" x14ac:dyDescent="0.3">
      <c r="T110" s="45"/>
      <c r="U110"/>
    </row>
    <row r="111" spans="9:21" x14ac:dyDescent="0.3">
      <c r="T111" s="45"/>
      <c r="U111"/>
    </row>
    <row r="112" spans="9:21" x14ac:dyDescent="0.3">
      <c r="T112" s="45"/>
      <c r="U112"/>
    </row>
    <row r="113" spans="20:21" x14ac:dyDescent="0.3">
      <c r="T113" s="45"/>
      <c r="U113"/>
    </row>
    <row r="114" spans="20:21" x14ac:dyDescent="0.3">
      <c r="T114" s="45"/>
      <c r="U114"/>
    </row>
    <row r="115" spans="20:21" x14ac:dyDescent="0.3">
      <c r="T115" s="45"/>
      <c r="U115"/>
    </row>
    <row r="116" spans="20:21" x14ac:dyDescent="0.3">
      <c r="T116" s="45"/>
      <c r="U116"/>
    </row>
    <row r="117" spans="20:21" x14ac:dyDescent="0.3">
      <c r="T117" s="45"/>
      <c r="U117"/>
    </row>
  </sheetData>
  <mergeCells count="2">
    <mergeCell ref="A5:H5"/>
    <mergeCell ref="J5:Q5"/>
  </mergeCells>
  <dataValidations count="1">
    <dataValidation allowBlank="1" showInputMessage="1" showErrorMessage="1" promptTitle="Select Data" prompt="db_a_x000a_db_b_x000a_db_c" sqref="A7" xr:uid="{7A4011CF-626D-42BD-B5A4-ECE0F3D30DA3}"/>
  </dataValidations>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347C9-566D-42ED-B8E3-E40C3876F224}">
  <sheetPr codeName="Sheet4"/>
  <dimension ref="A1:B26"/>
  <sheetViews>
    <sheetView workbookViewId="0">
      <selection sqref="A1:B26"/>
    </sheetView>
  </sheetViews>
  <sheetFormatPr defaultRowHeight="14.4" x14ac:dyDescent="0.3"/>
  <cols>
    <col min="1" max="1" width="12.5546875" bestFit="1" customWidth="1"/>
    <col min="2" max="2" width="11.88671875" bestFit="1" customWidth="1"/>
  </cols>
  <sheetData>
    <row r="1" spans="1:2" x14ac:dyDescent="0.3">
      <c r="A1" s="41" t="s">
        <v>1</v>
      </c>
      <c r="B1" s="41" t="s">
        <v>61</v>
      </c>
    </row>
    <row r="2" spans="1:2" x14ac:dyDescent="0.3">
      <c r="A2" s="11" t="s">
        <v>5</v>
      </c>
      <c r="B2" s="40">
        <f>[2]!AMERICA.ms</f>
        <v>0.67242999999999997</v>
      </c>
    </row>
    <row r="3" spans="1:2" x14ac:dyDescent="0.3">
      <c r="A3" s="11" t="s">
        <v>6</v>
      </c>
      <c r="B3" s="40">
        <f>[2]!ASIA.ms</f>
        <v>98.664000000000001</v>
      </c>
    </row>
    <row r="4" spans="1:2" x14ac:dyDescent="0.3">
      <c r="A4" s="11" t="s">
        <v>11</v>
      </c>
      <c r="B4" s="40">
        <f>[2]!AUD.ms</f>
        <v>0.88046999999999997</v>
      </c>
    </row>
    <row r="5" spans="1:2" x14ac:dyDescent="0.3">
      <c r="A5" s="11" t="s">
        <v>18</v>
      </c>
      <c r="B5" s="40">
        <f>[2]!AUDJPY.ms</f>
        <v>72.382000000000005</v>
      </c>
    </row>
    <row r="6" spans="1:2" x14ac:dyDescent="0.3">
      <c r="A6" s="11" t="s">
        <v>19</v>
      </c>
      <c r="B6" s="40">
        <f>[2]!AUDUSD.ms</f>
        <v>0.67710000000000004</v>
      </c>
    </row>
    <row r="7" spans="1:2" x14ac:dyDescent="0.3">
      <c r="A7" s="11" t="s">
        <v>12</v>
      </c>
      <c r="B7" s="40">
        <f>[2]!CAD.ms</f>
        <v>0.70323999999999998</v>
      </c>
    </row>
    <row r="8" spans="1:2" x14ac:dyDescent="0.3">
      <c r="A8" s="11" t="s">
        <v>13</v>
      </c>
      <c r="B8" s="40">
        <f>[2]!CHF.ms</f>
        <v>1.02152</v>
      </c>
    </row>
    <row r="9" spans="1:2" x14ac:dyDescent="0.3">
      <c r="A9" s="11" t="s">
        <v>8</v>
      </c>
      <c r="B9" s="40">
        <f>[2]!COMMOD.ms</f>
        <v>14.615539999999999</v>
      </c>
    </row>
    <row r="10" spans="1:2" x14ac:dyDescent="0.3">
      <c r="A10" s="11" t="s">
        <v>14</v>
      </c>
      <c r="B10" s="40">
        <f>[2]!EUR.ms</f>
        <v>1.03108</v>
      </c>
    </row>
    <row r="11" spans="1:2" x14ac:dyDescent="0.3">
      <c r="A11" s="11" t="s">
        <v>20</v>
      </c>
      <c r="B11" s="40">
        <f>[2]!EURGBP.ms</f>
        <v>0.88995999999999997</v>
      </c>
    </row>
    <row r="12" spans="1:2" x14ac:dyDescent="0.3">
      <c r="A12" s="11" t="s">
        <v>21</v>
      </c>
      <c r="B12" s="40">
        <f>[2]!EURJPY.ms</f>
        <v>117.38500000000001</v>
      </c>
    </row>
    <row r="13" spans="1:2" x14ac:dyDescent="0.3">
      <c r="A13" s="11" t="s">
        <v>7</v>
      </c>
      <c r="B13" s="40">
        <f>[2]!EUROPE.ms</f>
        <v>1.5110699999999999</v>
      </c>
    </row>
    <row r="14" spans="1:2" x14ac:dyDescent="0.3">
      <c r="A14" s="11" t="s">
        <v>22</v>
      </c>
      <c r="B14" s="40">
        <f>[2]!EURUSD.ms</f>
        <v>1.0978699999999999</v>
      </c>
    </row>
    <row r="15" spans="1:2" x14ac:dyDescent="0.3">
      <c r="A15" s="11" t="s">
        <v>9</v>
      </c>
      <c r="B15" s="40">
        <f>[2]!EXOTICS.ms</f>
        <v>5.2187799999999998</v>
      </c>
    </row>
    <row r="16" spans="1:2" x14ac:dyDescent="0.3">
      <c r="A16" s="11" t="s">
        <v>15</v>
      </c>
      <c r="B16" s="40">
        <f>[2]!GBP.ms</f>
        <v>1.1746700000000001</v>
      </c>
    </row>
    <row r="17" spans="1:2" x14ac:dyDescent="0.3">
      <c r="A17" s="11" t="s">
        <v>23</v>
      </c>
      <c r="B17" s="40">
        <f>[2]!GBPJPY.ms</f>
        <v>131.899</v>
      </c>
    </row>
    <row r="18" spans="1:2" x14ac:dyDescent="0.3">
      <c r="A18" s="11" t="s">
        <v>24</v>
      </c>
      <c r="B18" s="40">
        <f>[2]!GBPUSD.ms</f>
        <v>1.2340100000000001</v>
      </c>
    </row>
    <row r="19" spans="1:2" x14ac:dyDescent="0.3">
      <c r="A19" s="11" t="s">
        <v>16</v>
      </c>
      <c r="B19" s="40">
        <f>[2]!JPY.ms</f>
        <v>96.495000000000005</v>
      </c>
    </row>
    <row r="20" spans="1:2" x14ac:dyDescent="0.3">
      <c r="A20" s="11" t="s">
        <v>10</v>
      </c>
      <c r="B20" s="40">
        <f>[2]!METALS.ms</f>
        <v>59.544130000000003</v>
      </c>
    </row>
    <row r="21" spans="1:2" x14ac:dyDescent="0.3">
      <c r="A21" s="11" t="s">
        <v>25</v>
      </c>
      <c r="B21" s="40">
        <f>[2]!NZDJPY.ms</f>
        <v>67.528999999999996</v>
      </c>
    </row>
    <row r="22" spans="1:2" x14ac:dyDescent="0.3">
      <c r="A22" s="11" t="s">
        <v>26</v>
      </c>
      <c r="B22" s="40">
        <f>[2]!NZDUSD.ms</f>
        <v>0.63170000000000004</v>
      </c>
    </row>
    <row r="23" spans="1:2" x14ac:dyDescent="0.3">
      <c r="A23" s="11" t="s">
        <v>17</v>
      </c>
      <c r="B23" s="40">
        <f>[2]!USD.ms</f>
        <v>0.82789999999999997</v>
      </c>
    </row>
    <row r="24" spans="1:2" x14ac:dyDescent="0.3">
      <c r="A24" s="11" t="s">
        <v>27</v>
      </c>
      <c r="B24" s="40">
        <f>[2]!USDCAD.ms</f>
        <v>1.3310200000000001</v>
      </c>
    </row>
    <row r="25" spans="1:2" x14ac:dyDescent="0.3">
      <c r="A25" s="11" t="s">
        <v>28</v>
      </c>
      <c r="B25" s="40">
        <f>[2]!USDCHF.ms</f>
        <v>0.99558000000000002</v>
      </c>
    </row>
    <row r="26" spans="1:2" x14ac:dyDescent="0.3">
      <c r="A26" s="11" t="s">
        <v>29</v>
      </c>
      <c r="B26" s="40">
        <f>[2]!USDJPY.ms</f>
        <v>106.92400000000001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Monitor</vt:lpstr>
      <vt:lpstr>Sheet2</vt:lpstr>
      <vt:lpstr>Price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maxck</dc:creator>
  <cp:lastModifiedBy>maxck</cp:lastModifiedBy>
  <dcterms:created xsi:type="dcterms:W3CDTF">2019-10-06T14:06:06Z</dcterms:created>
  <dcterms:modified xsi:type="dcterms:W3CDTF">2019-10-06T18:12:49Z</dcterms:modified>
</cp:coreProperties>
</file>